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il_ahmadov\Desktop\Sığorta statistikası\2026\2026 YANVAR-SENTYABR\"/>
    </mc:Choice>
  </mc:AlternateContent>
  <xr:revisionPtr revIDLastSave="0" documentId="13_ncr:1_{458F6903-6B69-42E4-A88A-52E0EC921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.2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LF_ffffffde__ffffffe6_ki_LFdr1_iNdEx_646" localSheetId="0">'[1]ST-2SD.ST'!$A$81</definedName>
    <definedName name="__LF_ffffffde__ffffffe6_ki_LFdr1_iNdEx_646">'[2]ST-2SD.ST'!$A$81</definedName>
    <definedName name="__LF_ffffffde_u_fffffffe_a_LFdr1_iNdEx_645" localSheetId="0">'[1]ST-2SD.ST'!$A$80</definedName>
    <definedName name="__LF_ffffffde_u_fffffffe_a_LFdr1_iNdEx_645">'[2]ST-2SD.ST'!$A$80</definedName>
    <definedName name="__LFA_fffffff0_dam_LFdr1_iNdEx_584" localSheetId="0">'[1]ST-2SD.ST'!$A$19</definedName>
    <definedName name="__LFA_fffffff0_dam_LFdr1_iNdEx_584">'[2]ST-2SD.ST'!$A$19</definedName>
    <definedName name="__LFAstara_LFdr1_iNdEx_582" localSheetId="0">'[1]ST-2SD.ST'!$A$17</definedName>
    <definedName name="__LFAstara_LFdr1_iNdEx_582">'[2]ST-2SD.ST'!$A$17</definedName>
    <definedName name="__LFBak_fffffffd__LFdr1_iNdEx_588" localSheetId="0">'[1]ST-2SD.ST'!$A$23</definedName>
    <definedName name="__LFBak_fffffffd__LFdr1_iNdEx_588">'[2]ST-2SD.ST'!$A$23</definedName>
    <definedName name="__LFBalak_ffffffe6_n_LFdr1_iNdEx_589" localSheetId="0">'[1]ST-2SD.ST'!$A$24</definedName>
    <definedName name="__LFBalak_ffffffe6_n_LFdr1_iNdEx_589">'[2]ST-2SD.ST'!$A$24</definedName>
    <definedName name="__LFC_ffffffe6_bray_fffffffd_l_LFdr1_iNdEx_593" localSheetId="0">'[1]ST-2SD.ST'!$A$28</definedName>
    <definedName name="__LFC_ffffffe6_bray_fffffffd_l_LFdr1_iNdEx_593">'[2]ST-2SD.ST'!$A$28</definedName>
    <definedName name="__LFC_ffffffe6_lilabad_LFdr1_iNdEx_594" localSheetId="0">'[1]ST-2SD.ST'!$A$29</definedName>
    <definedName name="__LFC_ffffffe6_lilabad_LFdr1_iNdEx_594">'[2]ST-2SD.ST'!$A$29</definedName>
    <definedName name="__LFD_ffffffe6_v_ffffffe6__ffffffe7_i_LFdr1_iNdEx_597" localSheetId="0">'[1]ST-2SD.ST'!$A$32</definedName>
    <definedName name="__LFD_ffffffe6_v_ffffffe6__ffffffe7_i_LFdr1_iNdEx_597">'[2]ST-2SD.ST'!$A$32</definedName>
    <definedName name="__LFF_fffffffc_zuli_LFdr1_iNdEx_598" localSheetId="0">'[1]ST-2SD.ST'!$A$33</definedName>
    <definedName name="__LFF_fffffffc_zuli_LFdr1_iNdEx_598">'[2]ST-2SD.ST'!$A$33</definedName>
    <definedName name="__LFXa_ffffffe7_maz_LFdr1_iNdEx_632" localSheetId="0">'[1]ST-2SD.ST'!$A$67</definedName>
    <definedName name="__LFXa_ffffffe7_maz_LFdr1_iNdEx_632">'[2]ST-2SD.ST'!$A$67</definedName>
    <definedName name="__LFXocal_fffffffd__LFdr1_iNdEx_633" localSheetId="0">'[1]ST-2SD.ST'!$A$68</definedName>
    <definedName name="__LFXocal_fffffffd__LFdr1_iNdEx_633">'[2]ST-2SD.ST'!$A$68</definedName>
    <definedName name="__LFXocav_ffffffe6_nd_LFdr1_iNdEx_634" localSheetId="0">'[1]ST-2SD.ST'!$A$69</definedName>
    <definedName name="__LFXocav_ffffffe6_nd_LFdr1_iNdEx_634">'[2]ST-2SD.ST'!$A$69</definedName>
    <definedName name="__LFK_ffffffe6_lb_ffffffe6_c_ffffffe6_r_LFdr1_iNdEx_604" localSheetId="0">'[1]ST-2SD.ST'!$A$39</definedName>
    <definedName name="__LFK_ffffffe6_lb_ffffffe6_c_ffffffe6_r_LFdr1_iNdEx_604">'[2]ST-2SD.ST'!$A$39</definedName>
    <definedName name="__LFQ_ffffffe6_b_ffffffe6_l_ffffffe6__LFdr1_iNdEx_621" localSheetId="0">'[1]ST-2SD.ST'!$A$56</definedName>
    <definedName name="__LFQ_ffffffe6_b_ffffffe6_l_ffffffe6__LFdr1_iNdEx_621">'[2]ST-2SD.ST'!$A$56</definedName>
    <definedName name="__LFQax_LFdr1_iNdEx_615" localSheetId="0">'[1]ST-2SD.ST'!$A$50</definedName>
    <definedName name="__LFQax_LFdr1_iNdEx_615">'[2]ST-2SD.ST'!$A$50</definedName>
    <definedName name="__LFQuba_LFdr1_iNdEx_618" localSheetId="0">'[1]ST-2SD.ST'!$A$53</definedName>
    <definedName name="__LFQuba_LFdr1_iNdEx_618">'[2]ST-2SD.ST'!$A$53</definedName>
    <definedName name="__LFQubadl_fffffffd__LFdr1_iNdEx_619" localSheetId="0">'[1]ST-2SD.ST'!$A$54</definedName>
    <definedName name="__LFQubadl_fffffffd__LFdr1_iNdEx_619">'[2]ST-2SD.ST'!$A$54</definedName>
    <definedName name="__LFQusar_LFdr1_iNdEx_620" localSheetId="0">'[1]ST-2SD.ST'!$A$55</definedName>
    <definedName name="__LFQusar_LFdr1_iNdEx_620">'[2]ST-2SD.ST'!$A$55</definedName>
    <definedName name="__LFL_ffffffe6_nk_ffffffe6_ran_LFdr1_iNdEx_608" localSheetId="0">'[1]ST-2SD.ST'!$A$43</definedName>
    <definedName name="__LFL_ffffffe6_nk_ffffffe6_ran_LFdr1_iNdEx_608">'[2]ST-2SD.ST'!$A$43</definedName>
    <definedName name="__LFLa_ffffffe7__fffffffd_n_LFdr1_iNdEx_606" localSheetId="0">'[1]ST-2SD.ST'!$A$41</definedName>
    <definedName name="__LFLa_ffffffe7__fffffffd_n_LFdr1_iNdEx_606">'[2]ST-2SD.ST'!$A$41</definedName>
    <definedName name="__LFLerik_LFdr1_iNdEx_607" localSheetId="0">'[1]ST-2SD.ST'!$A$42</definedName>
    <definedName name="__LFLerik_LFdr1_iNdEx_607">'[2]ST-2SD.ST'!$A$42</definedName>
    <definedName name="__LFMasall_fffffffd__LFdr1_iNdEx_609" localSheetId="0">'[1]ST-2SD.ST'!$A$44</definedName>
    <definedName name="__LFMasall_fffffffd__LFdr1_iNdEx_609">'[2]ST-2SD.ST'!$A$44</definedName>
    <definedName name="__LFNax_ffffffe7__fffffffd_van_LFdr1_iNdEx_612" localSheetId="0">'[1]ST-2SD.ST'!$A$47</definedName>
    <definedName name="__LFNax_ffffffe7__fffffffd_van_LFdr1_iNdEx_612">'[2]ST-2SD.ST'!$A$47</definedName>
    <definedName name="__LFO_fffffff0_uz_LFdr1_iNdEx_614" localSheetId="0">'[1]ST-2SD.ST'!$A$49</definedName>
    <definedName name="__LFO_fffffff0_uz_LFdr1_iNdEx_614">'[2]ST-2SD.ST'!$A$49</definedName>
    <definedName name="__LFSiy_ffffffe6_z_ffffffe6_n_LFdr1_iNdEx_626" localSheetId="0">'[1]ST-2SD.ST'!$A$61</definedName>
    <definedName name="__LFSiy_ffffffe6_z_ffffffe6_n_LFdr1_iNdEx_626">'[2]ST-2SD.ST'!$A$61</definedName>
    <definedName name="__LFT_ffffffe6_rt_ffffffe6_r_LFdr1_iNdEx_629" localSheetId="0">'[1]ST-2SD.ST'!$A$64</definedName>
    <definedName name="__LFT_ffffffe6_rt_ffffffe6_r_LFdr1_iNdEx_629">'[2]ST-2SD.ST'!$A$64</definedName>
    <definedName name="__LFYard_fffffffd_ml_fffffffd__LFdr1_iNdEx_636" localSheetId="0">'[1]ST-2SD.ST'!$A$71</definedName>
    <definedName name="__LFYard_fffffffd_ml_fffffffd__LFdr1_iNdEx_636">'[2]ST-2SD.ST'!$A$71</definedName>
    <definedName name="__LFZ_ffffffe6_ngilan_LFdr1_iNdEx_639" localSheetId="0">'[1]ST-2SD.ST'!$A$74</definedName>
    <definedName name="__LFZ_ffffffe6_ngilan_LFdr1_iNdEx_639">'[2]ST-2SD.ST'!$A$74</definedName>
    <definedName name="__LFZaqatala_LFdr1_iNdEx_638" localSheetId="0">'[1]ST-2SD.ST'!$A$73</definedName>
    <definedName name="__LFZaqatala_LFdr1_iNdEx_638">'[2]ST-2SD.ST'!$A$73</definedName>
    <definedName name="_b2_iNdEx_2">'[3]3.6'!#REF!</definedName>
    <definedName name="_c1_iNdEx_3">'[3]3.6'!#REF!</definedName>
    <definedName name="_c2_iNdEx_4">'[3]3.6'!#REF!</definedName>
    <definedName name="_c3_iNdEx_5">'[3]3.6'!#REF!</definedName>
    <definedName name="_c4_iNdEx_6">'[3]3.6'!#REF!</definedName>
    <definedName name="_c5_iNdEx_7">'[3]3.6'!#REF!</definedName>
    <definedName name="_c6_iNdEx_8">'[3]3.6'!#REF!</definedName>
    <definedName name="_c7_iNdEx_9">'[3]3.6'!#REF!</definedName>
    <definedName name="_c8_iNdEx_10">'[3]3.6'!#REF!</definedName>
    <definedName name="_h1_iNdEx_11">'[3]3.6 (2)'!$A$2</definedName>
    <definedName name="_h10_iNdEx_38">'[3]3.6 (2)'!$A$30</definedName>
    <definedName name="_h11_iNdEx_39">'[3]3.6 (2)'!$A$31</definedName>
    <definedName name="_h12_iNdEx_40">'[3]3.6'!#REF!</definedName>
    <definedName name="_h13_iNdEx_42">'[3]3.6 (2)'!$A$33</definedName>
    <definedName name="_h14_iNdEx_47">'[3]3.6 (2)'!$A$37</definedName>
    <definedName name="_h15_iNdEx_55">'[3]3.6'!#REF!</definedName>
    <definedName name="_h2_iNdEx_12">'[3]3.6 (2)'!$A$4</definedName>
    <definedName name="_h3_iNdEx_13">'[3]3.6 (2)'!$A$13</definedName>
    <definedName name="_h4_iNdEx_14">'[3]3.6 (2)'!$A$14</definedName>
    <definedName name="_h5_iNdEx_15">'[3]3.6'!#REF!</definedName>
    <definedName name="_h6_iNdEx_17">'[3]3.6 (2)'!$A$16</definedName>
    <definedName name="_h7_iNdEx_22">'[3]3.6 (2)'!$A$20</definedName>
    <definedName name="_h8_iNdEx_28">'[3]3.6 (2)'!$A$26</definedName>
    <definedName name="_h9_iNdEx_37">'[3]3.6'!#REF!</definedName>
    <definedName name="_r1_iNdEx_16">'[3]3.6 (2)'!$A$15</definedName>
    <definedName name="_r10_iNdEx_27">'[3]3.6 (2)'!$A$25</definedName>
    <definedName name="_r11_iNdEx_29">'[3]3.6 (2)'!$A$27</definedName>
    <definedName name="_r12_iNdEx_30">'[3]3.6'!#REF!</definedName>
    <definedName name="_r13_iNdEx_31">'[3]3.6'!#REF!</definedName>
    <definedName name="_r14_iNdEx_32">'[3]3.6'!#REF!</definedName>
    <definedName name="_r15_iNdEx_33">'[3]3.6'!#REF!</definedName>
    <definedName name="_r16_iNdEx_34">'[3]3.6'!#REF!</definedName>
    <definedName name="_r17_iNdEx_35">'[3]3.6'!#REF!</definedName>
    <definedName name="_r18_iNdEx_36">'[3]3.6'!#REF!</definedName>
    <definedName name="_r19_iNdEx_41">'[3]3.6 (2)'!$A$32</definedName>
    <definedName name="_r2_iNdEx_18">'[3]3.6'!#REF!</definedName>
    <definedName name="_r20_iNdEx_43">'[3]3.6'!#REF!</definedName>
    <definedName name="_r21_iNdEx_44">'[3]3.6 (2)'!$A$34</definedName>
    <definedName name="_r22_iNdEx_45">'[3]3.6 (2)'!$A$35</definedName>
    <definedName name="_r23_iNdEx_46">'[3]3.6 (2)'!$A$36</definedName>
    <definedName name="_r24_iNdEx_48">'[3]3.6 (2)'!$A$38</definedName>
    <definedName name="_r25_iNdEx_49">'[3]3.6 (2)'!$A$39</definedName>
    <definedName name="_r26_iNdEx_50">'[3]3.6 (2)'!$A$40</definedName>
    <definedName name="_r27_iNdEx_51">'[3]3.6 (2)'!$A$41</definedName>
    <definedName name="_r28_iNdEx_52">'[3]3.6 (2)'!$A$42</definedName>
    <definedName name="_r29_iNdEx_53">'[3]3.6 (2)'!$A$43</definedName>
    <definedName name="_r3_iNdEx_19">'[3]3.6 (2)'!$A$17</definedName>
    <definedName name="_r30_iNdEx_54">'[3]3.6'!#REF!</definedName>
    <definedName name="_r31_iNdEx_56">'[3]3.6'!#REF!</definedName>
    <definedName name="_r32_iNdEx_57">'[3]3.6'!#REF!</definedName>
    <definedName name="_r33_iNdEx_58">'[3]3.6'!#REF!</definedName>
    <definedName name="_r34_iNdEx_59">'[3]3.6'!#REF!</definedName>
    <definedName name="_r4_iNdEx_20">'[3]3.6 (2)'!$A$18</definedName>
    <definedName name="_r5_iNdEx_21">'[3]3.6 (2)'!$A$19</definedName>
    <definedName name="_r6_iNdEx_23">'[3]3.6 (2)'!$A$21</definedName>
    <definedName name="_r7_iNdEx_24">'[3]3.6 (2)'!$A$22</definedName>
    <definedName name="_r8_iNdEx_25">'[3]3.6 (2)'!$A$23</definedName>
    <definedName name="_r9_iNdEx_26">'[3]3.6 (2)'!$A$24</definedName>
    <definedName name="_rid_Tb1_iNdEx_1">'[3]3.6'!#REF!</definedName>
    <definedName name="fdfdfdf" localSheetId="0">'[4]ST-2SD.ST'!$A$23</definedName>
    <definedName name="fdfdfdf">'[5]ST-2SD.ST'!$A$23</definedName>
    <definedName name="lerik" localSheetId="0">'[4]ST-2SD.ST'!$A$42</definedName>
    <definedName name="lerik">'[5]ST-2SD.ST'!$A$42</definedName>
    <definedName name="_xlnm.Print_Area" localSheetId="0">'6.2'!$A$1:$IB$62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A54" i="1" l="1"/>
  <c r="IA50" i="1" s="1"/>
  <c r="HZ54" i="1"/>
  <c r="HZ50" i="1" s="1"/>
  <c r="IA36" i="1"/>
  <c r="IA23" i="1" s="1"/>
  <c r="HZ36" i="1"/>
  <c r="IA24" i="1"/>
  <c r="HZ24" i="1"/>
  <c r="HZ23" i="1"/>
  <c r="IA19" i="1"/>
  <c r="HZ19" i="1"/>
  <c r="IA13" i="1"/>
  <c r="HZ13" i="1"/>
  <c r="HY54" i="1"/>
  <c r="HY50" i="1" s="1"/>
  <c r="HX54" i="1"/>
  <c r="HX50" i="1"/>
  <c r="HY36" i="1"/>
  <c r="HX36" i="1"/>
  <c r="HY24" i="1"/>
  <c r="HX24" i="1"/>
  <c r="HX23" i="1" s="1"/>
  <c r="HY19" i="1"/>
  <c r="HX19" i="1"/>
  <c r="HY13" i="1"/>
  <c r="HX13" i="1"/>
  <c r="HW54" i="1"/>
  <c r="HW50" i="1" s="1"/>
  <c r="HV54" i="1"/>
  <c r="HV50" i="1" s="1"/>
  <c r="HW36" i="1"/>
  <c r="HV36" i="1"/>
  <c r="HW24" i="1"/>
  <c r="HV24" i="1"/>
  <c r="HV23" i="1" s="1"/>
  <c r="HW19" i="1"/>
  <c r="HV19" i="1"/>
  <c r="HW13" i="1"/>
  <c r="HV13" i="1"/>
  <c r="HT54" i="1"/>
  <c r="HT50" i="1" s="1"/>
  <c r="HU54" i="1"/>
  <c r="HU50" i="1" s="1"/>
  <c r="HT36" i="1"/>
  <c r="HU36" i="1"/>
  <c r="HU24" i="1"/>
  <c r="HT24" i="1"/>
  <c r="HU19" i="1"/>
  <c r="HT19" i="1"/>
  <c r="HU13" i="1"/>
  <c r="HT13" i="1"/>
  <c r="HS54" i="1"/>
  <c r="HS50" i="1" s="1"/>
  <c r="HR54" i="1"/>
  <c r="HR50" i="1" s="1"/>
  <c r="HS36" i="1"/>
  <c r="HR36" i="1"/>
  <c r="HS24" i="1"/>
  <c r="HR24" i="1"/>
  <c r="HS19" i="1"/>
  <c r="HR19" i="1"/>
  <c r="HS13" i="1"/>
  <c r="HR13" i="1"/>
  <c r="HQ54" i="1"/>
  <c r="HQ50" i="1" s="1"/>
  <c r="HP54" i="1"/>
  <c r="HP50" i="1" s="1"/>
  <c r="HQ36" i="1"/>
  <c r="HP36" i="1"/>
  <c r="HQ24" i="1"/>
  <c r="HP24" i="1"/>
  <c r="HQ19" i="1"/>
  <c r="HP19" i="1"/>
  <c r="HQ13" i="1"/>
  <c r="HP13" i="1"/>
  <c r="HO54" i="1"/>
  <c r="HO50" i="1" s="1"/>
  <c r="HN54" i="1"/>
  <c r="HN50" i="1" s="1"/>
  <c r="HO36" i="1"/>
  <c r="HN36" i="1"/>
  <c r="HO24" i="1"/>
  <c r="HN24" i="1"/>
  <c r="HO19" i="1"/>
  <c r="HN19" i="1"/>
  <c r="HO13" i="1"/>
  <c r="HN13" i="1"/>
  <c r="HM54" i="1"/>
  <c r="HM50" i="1" s="1"/>
  <c r="HL54" i="1"/>
  <c r="HL50" i="1" s="1"/>
  <c r="HM36" i="1"/>
  <c r="HL36" i="1"/>
  <c r="HM24" i="1"/>
  <c r="HL24" i="1"/>
  <c r="HM19" i="1"/>
  <c r="HL19" i="1"/>
  <c r="HM13" i="1"/>
  <c r="HL13" i="1"/>
  <c r="HK54" i="1"/>
  <c r="HK50" i="1" s="1"/>
  <c r="HJ54" i="1"/>
  <c r="HJ50" i="1" s="1"/>
  <c r="HK36" i="1"/>
  <c r="HJ36" i="1"/>
  <c r="HK24" i="1"/>
  <c r="HK23" i="1" s="1"/>
  <c r="HJ24" i="1"/>
  <c r="HK19" i="1"/>
  <c r="HJ19" i="1"/>
  <c r="HK13" i="1"/>
  <c r="HJ13" i="1"/>
  <c r="HI54" i="1"/>
  <c r="HI50" i="1" s="1"/>
  <c r="HH54" i="1"/>
  <c r="HH50" i="1" s="1"/>
  <c r="HI36" i="1"/>
  <c r="HH36" i="1"/>
  <c r="HI24" i="1"/>
  <c r="HH24" i="1"/>
  <c r="HH23" i="1" s="1"/>
  <c r="HI19" i="1"/>
  <c r="HH19" i="1"/>
  <c r="HI13" i="1"/>
  <c r="HH13" i="1"/>
  <c r="HG54" i="1"/>
  <c r="HG50" i="1" s="1"/>
  <c r="HF54" i="1"/>
  <c r="HF50" i="1" s="1"/>
  <c r="HG36" i="1"/>
  <c r="HF36" i="1"/>
  <c r="HG24" i="1"/>
  <c r="HF24" i="1"/>
  <c r="HG19" i="1"/>
  <c r="HF19" i="1"/>
  <c r="HG13" i="1"/>
  <c r="HF13" i="1"/>
  <c r="HE54" i="1"/>
  <c r="HE50" i="1" s="1"/>
  <c r="HD54" i="1"/>
  <c r="HD50" i="1" s="1"/>
  <c r="HE36" i="1"/>
  <c r="HD36" i="1"/>
  <c r="HE24" i="1"/>
  <c r="HE23" i="1" s="1"/>
  <c r="HD24" i="1"/>
  <c r="HE19" i="1"/>
  <c r="HD19" i="1"/>
  <c r="HE13" i="1"/>
  <c r="HD13" i="1"/>
  <c r="HC54" i="1"/>
  <c r="HC50" i="1" s="1"/>
  <c r="HB54" i="1"/>
  <c r="HB50" i="1" s="1"/>
  <c r="HC36" i="1"/>
  <c r="HB36" i="1"/>
  <c r="HC24" i="1"/>
  <c r="HB24" i="1"/>
  <c r="HC19" i="1"/>
  <c r="HB19" i="1"/>
  <c r="HC13" i="1"/>
  <c r="HB13" i="1"/>
  <c r="HA54" i="1"/>
  <c r="HA50" i="1" s="1"/>
  <c r="GZ54" i="1"/>
  <c r="GZ50" i="1" s="1"/>
  <c r="HA36" i="1"/>
  <c r="GZ36" i="1"/>
  <c r="HA24" i="1"/>
  <c r="GZ24" i="1"/>
  <c r="HA19" i="1"/>
  <c r="GZ19" i="1"/>
  <c r="HA13" i="1"/>
  <c r="GZ13" i="1"/>
  <c r="GX54" i="1"/>
  <c r="GX50" i="1" s="1"/>
  <c r="GY54" i="1"/>
  <c r="GY50" i="1" s="1"/>
  <c r="GY36" i="1"/>
  <c r="GX36" i="1"/>
  <c r="GY24" i="1"/>
  <c r="GX24" i="1"/>
  <c r="GY19" i="1"/>
  <c r="GX19" i="1"/>
  <c r="GY13" i="1"/>
  <c r="GX13" i="1"/>
  <c r="GW54" i="1"/>
  <c r="GW50" i="1" s="1"/>
  <c r="GV54" i="1"/>
  <c r="GV50" i="1" s="1"/>
  <c r="GW36" i="1"/>
  <c r="GV36" i="1"/>
  <c r="GW24" i="1"/>
  <c r="GV24" i="1"/>
  <c r="GW19" i="1"/>
  <c r="GV19" i="1"/>
  <c r="GW13" i="1"/>
  <c r="GV13" i="1"/>
  <c r="GU54" i="1"/>
  <c r="GU50" i="1" s="1"/>
  <c r="GT54" i="1"/>
  <c r="GT50" i="1" s="1"/>
  <c r="GU36" i="1"/>
  <c r="GT36" i="1"/>
  <c r="GU24" i="1"/>
  <c r="GT24" i="1"/>
  <c r="GU19" i="1"/>
  <c r="GT19" i="1"/>
  <c r="GU13" i="1"/>
  <c r="GT13" i="1"/>
  <c r="GR19" i="1"/>
  <c r="GS19" i="1"/>
  <c r="GR24" i="1"/>
  <c r="GS24" i="1"/>
  <c r="GS54" i="1"/>
  <c r="GS50" i="1" s="1"/>
  <c r="GR54" i="1"/>
  <c r="GR50" i="1" s="1"/>
  <c r="GS36" i="1"/>
  <c r="GR36" i="1"/>
  <c r="GS13" i="1"/>
  <c r="GR13" i="1"/>
  <c r="GQ54" i="1"/>
  <c r="GQ50" i="1" s="1"/>
  <c r="GP54" i="1"/>
  <c r="GP50" i="1" s="1"/>
  <c r="GQ36" i="1"/>
  <c r="GP36" i="1"/>
  <c r="GQ24" i="1"/>
  <c r="GP24" i="1"/>
  <c r="GQ19" i="1"/>
  <c r="GQ13" i="1"/>
  <c r="GP19" i="1"/>
  <c r="GP13" i="1"/>
  <c r="HZ18" i="1" l="1"/>
  <c r="IA18" i="1"/>
  <c r="IA11" i="1" s="1"/>
  <c r="IA60" i="1" s="1"/>
  <c r="HZ11" i="1"/>
  <c r="HZ60" i="1"/>
  <c r="HY23" i="1"/>
  <c r="HY18" i="1"/>
  <c r="HX18" i="1"/>
  <c r="HX11" i="1" s="1"/>
  <c r="HX60" i="1" s="1"/>
  <c r="HY11" i="1"/>
  <c r="HY60" i="1" s="1"/>
  <c r="HW23" i="1"/>
  <c r="HW18" i="1" s="1"/>
  <c r="HW11" i="1" s="1"/>
  <c r="HW60" i="1" s="1"/>
  <c r="HV18" i="1"/>
  <c r="HV11" i="1" s="1"/>
  <c r="HV60" i="1" s="1"/>
  <c r="HL23" i="1"/>
  <c r="HU23" i="1"/>
  <c r="HU18" i="1" s="1"/>
  <c r="HU11" i="1" s="1"/>
  <c r="HU60" i="1" s="1"/>
  <c r="HT23" i="1"/>
  <c r="HT18" i="1" s="1"/>
  <c r="HT11" i="1" s="1"/>
  <c r="HT60" i="1" s="1"/>
  <c r="HR23" i="1"/>
  <c r="HR18" i="1" s="1"/>
  <c r="HR11" i="1" s="1"/>
  <c r="HR60" i="1" s="1"/>
  <c r="HS23" i="1"/>
  <c r="HS18" i="1"/>
  <c r="HS11" i="1" s="1"/>
  <c r="HS60" i="1" s="1"/>
  <c r="HP23" i="1"/>
  <c r="HP18" i="1" s="1"/>
  <c r="HP11" i="1" s="1"/>
  <c r="HP60" i="1" s="1"/>
  <c r="HQ23" i="1"/>
  <c r="HQ18" i="1"/>
  <c r="HQ11" i="1" s="1"/>
  <c r="HQ60" i="1" s="1"/>
  <c r="HN23" i="1"/>
  <c r="HN18" i="1" s="1"/>
  <c r="HN11" i="1" s="1"/>
  <c r="HN60" i="1" s="1"/>
  <c r="HO23" i="1"/>
  <c r="HO18" i="1" s="1"/>
  <c r="HO11" i="1" s="1"/>
  <c r="HO60" i="1" s="1"/>
  <c r="HI23" i="1"/>
  <c r="HI18" i="1" s="1"/>
  <c r="HI11" i="1" s="1"/>
  <c r="HI60" i="1" s="1"/>
  <c r="HM23" i="1"/>
  <c r="HM18" i="1" s="1"/>
  <c r="HM11" i="1" s="1"/>
  <c r="HM60" i="1" s="1"/>
  <c r="HL18" i="1"/>
  <c r="HL11" i="1" s="1"/>
  <c r="HL60" i="1" s="1"/>
  <c r="HJ23" i="1"/>
  <c r="HJ18" i="1" s="1"/>
  <c r="HJ11" i="1" s="1"/>
  <c r="HJ60" i="1" s="1"/>
  <c r="HK18" i="1"/>
  <c r="HK11" i="1" s="1"/>
  <c r="HK60" i="1" s="1"/>
  <c r="HH18" i="1"/>
  <c r="HH11" i="1" s="1"/>
  <c r="HH60" i="1" s="1"/>
  <c r="HD23" i="1"/>
  <c r="HD18" i="1" s="1"/>
  <c r="HD11" i="1" s="1"/>
  <c r="HD60" i="1" s="1"/>
  <c r="GU23" i="1"/>
  <c r="GU18" i="1" s="1"/>
  <c r="GU11" i="1" s="1"/>
  <c r="GU60" i="1" s="1"/>
  <c r="HC23" i="1"/>
  <c r="HC18" i="1" s="1"/>
  <c r="HC11" i="1" s="1"/>
  <c r="HC60" i="1" s="1"/>
  <c r="HG23" i="1"/>
  <c r="HG18" i="1" s="1"/>
  <c r="HG11" i="1" s="1"/>
  <c r="HG60" i="1" s="1"/>
  <c r="HF23" i="1"/>
  <c r="HF18" i="1" s="1"/>
  <c r="HF11" i="1" s="1"/>
  <c r="HF60" i="1" s="1"/>
  <c r="GP23" i="1"/>
  <c r="GP18" i="1" s="1"/>
  <c r="GP11" i="1" s="1"/>
  <c r="GP60" i="1" s="1"/>
  <c r="GT23" i="1"/>
  <c r="GT18" i="1" s="1"/>
  <c r="GT11" i="1" s="1"/>
  <c r="GT60" i="1" s="1"/>
  <c r="HB23" i="1"/>
  <c r="HB18" i="1" s="1"/>
  <c r="HB11" i="1" s="1"/>
  <c r="HB60" i="1" s="1"/>
  <c r="HE18" i="1"/>
  <c r="HE11" i="1" s="1"/>
  <c r="HE60" i="1" s="1"/>
  <c r="GZ23" i="1"/>
  <c r="GZ18" i="1" s="1"/>
  <c r="GZ11" i="1" s="1"/>
  <c r="GZ60" i="1" s="1"/>
  <c r="HA23" i="1"/>
  <c r="HA18" i="1" s="1"/>
  <c r="HA11" i="1" s="1"/>
  <c r="HA60" i="1" s="1"/>
  <c r="GY23" i="1"/>
  <c r="GY18" i="1" s="1"/>
  <c r="GY11" i="1" s="1"/>
  <c r="GY60" i="1" s="1"/>
  <c r="GX23" i="1"/>
  <c r="GX18" i="1" s="1"/>
  <c r="GX11" i="1" s="1"/>
  <c r="GX60" i="1" s="1"/>
  <c r="GW23" i="1"/>
  <c r="GW18" i="1" s="1"/>
  <c r="GW11" i="1" s="1"/>
  <c r="GW60" i="1" s="1"/>
  <c r="GV23" i="1"/>
  <c r="GV18" i="1" s="1"/>
  <c r="GV11" i="1" s="1"/>
  <c r="GV60" i="1" s="1"/>
  <c r="GS23" i="1"/>
  <c r="GS18" i="1" s="1"/>
  <c r="GS11" i="1" s="1"/>
  <c r="GS60" i="1" s="1"/>
  <c r="GR23" i="1"/>
  <c r="GR18" i="1" s="1"/>
  <c r="GR11" i="1" s="1"/>
  <c r="GR60" i="1" s="1"/>
  <c r="GQ23" i="1"/>
  <c r="GQ18" i="1" s="1"/>
  <c r="GQ11" i="1" s="1"/>
  <c r="GQ60" i="1" s="1"/>
  <c r="GO54" i="1"/>
  <c r="GO50" i="1" s="1"/>
  <c r="GN54" i="1"/>
  <c r="GN50" i="1" s="1"/>
  <c r="GO36" i="1"/>
  <c r="GN36" i="1"/>
  <c r="GO24" i="1"/>
  <c r="GN24" i="1"/>
  <c r="GO19" i="1"/>
  <c r="GN19" i="1"/>
  <c r="GO13" i="1"/>
  <c r="GN13" i="1"/>
  <c r="GM54" i="1"/>
  <c r="GM50" i="1" s="1"/>
  <c r="GL54" i="1"/>
  <c r="GL50" i="1" s="1"/>
  <c r="GM36" i="1"/>
  <c r="GL36" i="1"/>
  <c r="GM24" i="1"/>
  <c r="GL24" i="1"/>
  <c r="GM19" i="1"/>
  <c r="GL19" i="1"/>
  <c r="GM13" i="1"/>
  <c r="GL13" i="1"/>
  <c r="GK55" i="1"/>
  <c r="GK54" i="1" s="1"/>
  <c r="GK50" i="1" s="1"/>
  <c r="GJ54" i="1"/>
  <c r="GJ50" i="1" s="1"/>
  <c r="GK36" i="1"/>
  <c r="GJ36" i="1"/>
  <c r="GK24" i="1"/>
  <c r="GJ24" i="1"/>
  <c r="GK19" i="1"/>
  <c r="GJ19" i="1"/>
  <c r="GK13" i="1"/>
  <c r="GJ13" i="1"/>
  <c r="GI55" i="1"/>
  <c r="GI54" i="1" s="1"/>
  <c r="GI50" i="1" s="1"/>
  <c r="GH54" i="1"/>
  <c r="GH50" i="1" s="1"/>
  <c r="GI36" i="1"/>
  <c r="GH36" i="1"/>
  <c r="GI24" i="1"/>
  <c r="GH24" i="1"/>
  <c r="GI19" i="1"/>
  <c r="GH19" i="1"/>
  <c r="GI13" i="1"/>
  <c r="GH13" i="1"/>
  <c r="GG55" i="1"/>
  <c r="GG54" i="1" s="1"/>
  <c r="FW55" i="1"/>
  <c r="GF54" i="1"/>
  <c r="GE55" i="1"/>
  <c r="GE54" i="1" s="1"/>
  <c r="GE50" i="1" s="1"/>
  <c r="GD54" i="1"/>
  <c r="GD50" i="1" s="1"/>
  <c r="GE36" i="1"/>
  <c r="GD36" i="1"/>
  <c r="GE24" i="1"/>
  <c r="GD24" i="1"/>
  <c r="GE19" i="1"/>
  <c r="GD19" i="1"/>
  <c r="GE13" i="1"/>
  <c r="GD13" i="1"/>
  <c r="GC55" i="1"/>
  <c r="GO23" i="1" l="1"/>
  <c r="GO18" i="1" s="1"/>
  <c r="GO11" i="1" s="1"/>
  <c r="GO60" i="1" s="1"/>
  <c r="GM23" i="1"/>
  <c r="GM18" i="1" s="1"/>
  <c r="GM11" i="1" s="1"/>
  <c r="GM60" i="1" s="1"/>
  <c r="GD23" i="1"/>
  <c r="GD18" i="1" s="1"/>
  <c r="GD11" i="1" s="1"/>
  <c r="GD60" i="1" s="1"/>
  <c r="GK23" i="1"/>
  <c r="GK18" i="1" s="1"/>
  <c r="GK11" i="1" s="1"/>
  <c r="GK60" i="1" s="1"/>
  <c r="GN23" i="1"/>
  <c r="GN18" i="1" s="1"/>
  <c r="GN11" i="1" s="1"/>
  <c r="GN60" i="1" s="1"/>
  <c r="GL23" i="1"/>
  <c r="GL18" i="1" s="1"/>
  <c r="GL11" i="1" s="1"/>
  <c r="GL60" i="1" s="1"/>
  <c r="GE23" i="1"/>
  <c r="GE18" i="1" s="1"/>
  <c r="GE11" i="1" s="1"/>
  <c r="GE60" i="1" s="1"/>
  <c r="GJ23" i="1"/>
  <c r="GJ18" i="1" s="1"/>
  <c r="GJ11" i="1" s="1"/>
  <c r="GJ60" i="1" s="1"/>
  <c r="GI23" i="1"/>
  <c r="GI18" i="1" s="1"/>
  <c r="GI11" i="1" s="1"/>
  <c r="GI60" i="1" s="1"/>
  <c r="GH23" i="1"/>
  <c r="GH18" i="1" s="1"/>
  <c r="GH11" i="1" s="1"/>
  <c r="GH60" i="1" s="1"/>
  <c r="GA55" i="1"/>
  <c r="GA56" i="1"/>
  <c r="GA27" i="1"/>
  <c r="GA26" i="1"/>
  <c r="GA21" i="1"/>
  <c r="GA20" i="1"/>
  <c r="GA19" i="1" s="1"/>
  <c r="GA36" i="1"/>
  <c r="GA24" i="1"/>
  <c r="GA13" i="1"/>
  <c r="GG50" i="1"/>
  <c r="GF50" i="1"/>
  <c r="GG36" i="1"/>
  <c r="GF36" i="1"/>
  <c r="GG24" i="1"/>
  <c r="GF24" i="1"/>
  <c r="GG19" i="1"/>
  <c r="GF19" i="1"/>
  <c r="GG13" i="1"/>
  <c r="GF13" i="1"/>
  <c r="GA54" i="1" l="1"/>
  <c r="GA50" i="1" s="1"/>
  <c r="GA23" i="1"/>
  <c r="GF23" i="1"/>
  <c r="GF18" i="1" s="1"/>
  <c r="GF11" i="1" s="1"/>
  <c r="GF60" i="1" s="1"/>
  <c r="GG23" i="1"/>
  <c r="GG18" i="1" s="1"/>
  <c r="GG11" i="1" s="1"/>
  <c r="GG60" i="1" s="1"/>
  <c r="GC54" i="1"/>
  <c r="GC50" i="1" s="1"/>
  <c r="GB54" i="1"/>
  <c r="GB50" i="1" s="1"/>
  <c r="GC36" i="1"/>
  <c r="GB36" i="1"/>
  <c r="GC24" i="1"/>
  <c r="GB24" i="1"/>
  <c r="GC19" i="1"/>
  <c r="GB19" i="1"/>
  <c r="GC13" i="1"/>
  <c r="GB13" i="1"/>
  <c r="FZ54" i="1"/>
  <c r="FZ50" i="1" s="1"/>
  <c r="FZ36" i="1"/>
  <c r="FZ24" i="1"/>
  <c r="FZ19" i="1"/>
  <c r="FZ13" i="1"/>
  <c r="FY55" i="1"/>
  <c r="FY54" i="1" s="1"/>
  <c r="FY50" i="1" s="1"/>
  <c r="FX54" i="1"/>
  <c r="FX50" i="1" s="1"/>
  <c r="FY36" i="1"/>
  <c r="FX36" i="1"/>
  <c r="FY24" i="1"/>
  <c r="FX24" i="1"/>
  <c r="FY19" i="1"/>
  <c r="FX19" i="1"/>
  <c r="FY13" i="1"/>
  <c r="FX13" i="1"/>
  <c r="GA18" i="1" l="1"/>
  <c r="GA11" i="1" s="1"/>
  <c r="FZ23" i="1"/>
  <c r="FZ18" i="1" s="1"/>
  <c r="FZ11" i="1" s="1"/>
  <c r="FZ60" i="1" s="1"/>
  <c r="GC23" i="1"/>
  <c r="GC18" i="1" s="1"/>
  <c r="GC11" i="1" s="1"/>
  <c r="GC60" i="1" s="1"/>
  <c r="GB23" i="1"/>
  <c r="GB18" i="1" s="1"/>
  <c r="GB11" i="1" s="1"/>
  <c r="GB60" i="1" s="1"/>
  <c r="FX23" i="1"/>
  <c r="FX18" i="1" s="1"/>
  <c r="FX11" i="1" s="1"/>
  <c r="FX60" i="1" s="1"/>
  <c r="FY23" i="1"/>
  <c r="FY18" i="1" s="1"/>
  <c r="FY11" i="1" s="1"/>
  <c r="FY60" i="1" s="1"/>
  <c r="FW54" i="1"/>
  <c r="FW50" i="1" s="1"/>
  <c r="FV54" i="1"/>
  <c r="FV50" i="1" s="1"/>
  <c r="FW36" i="1"/>
  <c r="FV36" i="1"/>
  <c r="FW24" i="1"/>
  <c r="FV24" i="1"/>
  <c r="FW19" i="1"/>
  <c r="FV19" i="1"/>
  <c r="FW13" i="1"/>
  <c r="FV13" i="1"/>
  <c r="FU54" i="1"/>
  <c r="FU50" i="1" s="1"/>
  <c r="FT54" i="1"/>
  <c r="FT50" i="1" s="1"/>
  <c r="FU36" i="1"/>
  <c r="FT36" i="1"/>
  <c r="FU24" i="1"/>
  <c r="FT24" i="1"/>
  <c r="FU19" i="1"/>
  <c r="FT19" i="1"/>
  <c r="FU13" i="1"/>
  <c r="FT13" i="1"/>
  <c r="FS54" i="1"/>
  <c r="FS50" i="1" s="1"/>
  <c r="FR54" i="1"/>
  <c r="FR50" i="1" s="1"/>
  <c r="FS36" i="1"/>
  <c r="FR36" i="1"/>
  <c r="FS24" i="1"/>
  <c r="FR24" i="1"/>
  <c r="FS19" i="1"/>
  <c r="FR19" i="1"/>
  <c r="FS13" i="1"/>
  <c r="FR13" i="1"/>
  <c r="FQ54" i="1"/>
  <c r="FQ50" i="1" s="1"/>
  <c r="FP54" i="1"/>
  <c r="FP50" i="1" s="1"/>
  <c r="FQ36" i="1"/>
  <c r="FP36" i="1"/>
  <c r="FQ24" i="1"/>
  <c r="FP24" i="1"/>
  <c r="FQ19" i="1"/>
  <c r="FP19" i="1"/>
  <c r="FQ13" i="1"/>
  <c r="FP13" i="1"/>
  <c r="FO54" i="1"/>
  <c r="FO50" i="1" s="1"/>
  <c r="FN54" i="1"/>
  <c r="FN50" i="1" s="1"/>
  <c r="FO36" i="1"/>
  <c r="FN36" i="1"/>
  <c r="FO24" i="1"/>
  <c r="FN24" i="1"/>
  <c r="FO19" i="1"/>
  <c r="FN19" i="1"/>
  <c r="FO13" i="1"/>
  <c r="FN13" i="1"/>
  <c r="FM54" i="1"/>
  <c r="FM50" i="1" s="1"/>
  <c r="FL54" i="1"/>
  <c r="FL50" i="1" s="1"/>
  <c r="FM36" i="1"/>
  <c r="FL36" i="1"/>
  <c r="FM24" i="1"/>
  <c r="FL24" i="1"/>
  <c r="FM19" i="1"/>
  <c r="FL19" i="1"/>
  <c r="FM13" i="1"/>
  <c r="FL13" i="1"/>
  <c r="FK54" i="1"/>
  <c r="FK50" i="1" s="1"/>
  <c r="FJ54" i="1"/>
  <c r="FJ50" i="1" s="1"/>
  <c r="FK36" i="1"/>
  <c r="FJ36" i="1"/>
  <c r="FK24" i="1"/>
  <c r="FJ24" i="1"/>
  <c r="FK19" i="1"/>
  <c r="FJ19" i="1"/>
  <c r="FK13" i="1"/>
  <c r="FJ13" i="1"/>
  <c r="FI54" i="1"/>
  <c r="FI50" i="1" s="1"/>
  <c r="FH54" i="1"/>
  <c r="FH50" i="1" s="1"/>
  <c r="FI36" i="1"/>
  <c r="FH36" i="1"/>
  <c r="FI24" i="1"/>
  <c r="FH24" i="1"/>
  <c r="FI19" i="1"/>
  <c r="FH19" i="1"/>
  <c r="FI13" i="1"/>
  <c r="FH13" i="1"/>
  <c r="FG54" i="1"/>
  <c r="FG50" i="1" s="1"/>
  <c r="FF54" i="1"/>
  <c r="FF50" i="1" s="1"/>
  <c r="FG36" i="1"/>
  <c r="FF36" i="1"/>
  <c r="FG24" i="1"/>
  <c r="FF24" i="1"/>
  <c r="FG19" i="1"/>
  <c r="FF19" i="1"/>
  <c r="FG13" i="1"/>
  <c r="FF13" i="1"/>
  <c r="FE54" i="1"/>
  <c r="FE50" i="1" s="1"/>
  <c r="FD54" i="1"/>
  <c r="FD50" i="1" s="1"/>
  <c r="FE36" i="1"/>
  <c r="FD36" i="1"/>
  <c r="FE24" i="1"/>
  <c r="FD24" i="1"/>
  <c r="FE19" i="1"/>
  <c r="FD19" i="1"/>
  <c r="FE13" i="1"/>
  <c r="FD13" i="1"/>
  <c r="GA60" i="1" l="1"/>
  <c r="FV23" i="1"/>
  <c r="FV18" i="1" s="1"/>
  <c r="FV11" i="1" s="1"/>
  <c r="FV60" i="1" s="1"/>
  <c r="FS23" i="1"/>
  <c r="FS18" i="1" s="1"/>
  <c r="FS11" i="1" s="1"/>
  <c r="FS60" i="1" s="1"/>
  <c r="FW23" i="1"/>
  <c r="FW18" i="1" s="1"/>
  <c r="FW11" i="1" s="1"/>
  <c r="FW60" i="1" s="1"/>
  <c r="FT23" i="1"/>
  <c r="FT18" i="1" s="1"/>
  <c r="FT11" i="1" s="1"/>
  <c r="FT60" i="1" s="1"/>
  <c r="FU23" i="1"/>
  <c r="FU18" i="1" s="1"/>
  <c r="FU11" i="1" s="1"/>
  <c r="FU60" i="1" s="1"/>
  <c r="FR23" i="1"/>
  <c r="FR18" i="1" s="1"/>
  <c r="FR11" i="1" s="1"/>
  <c r="FR60" i="1" s="1"/>
  <c r="FQ23" i="1"/>
  <c r="FQ18" i="1" s="1"/>
  <c r="FQ11" i="1" s="1"/>
  <c r="FQ60" i="1" s="1"/>
  <c r="FP23" i="1"/>
  <c r="FP18" i="1" s="1"/>
  <c r="FP11" i="1" s="1"/>
  <c r="FP60" i="1" s="1"/>
  <c r="FN23" i="1"/>
  <c r="FN18" i="1" s="1"/>
  <c r="FN11" i="1" s="1"/>
  <c r="FN60" i="1" s="1"/>
  <c r="FM23" i="1"/>
  <c r="FM18" i="1" s="1"/>
  <c r="FM11" i="1" s="1"/>
  <c r="FM60" i="1" s="1"/>
  <c r="FL23" i="1"/>
  <c r="FL18" i="1" s="1"/>
  <c r="FL11" i="1" s="1"/>
  <c r="FL60" i="1" s="1"/>
  <c r="FO23" i="1"/>
  <c r="FO18" i="1" s="1"/>
  <c r="FO11" i="1" s="1"/>
  <c r="FO60" i="1" s="1"/>
  <c r="FJ23" i="1"/>
  <c r="FJ18" i="1" s="1"/>
  <c r="FJ11" i="1" s="1"/>
  <c r="FJ60" i="1" s="1"/>
  <c r="FK23" i="1"/>
  <c r="FK18" i="1" s="1"/>
  <c r="FK11" i="1" s="1"/>
  <c r="FK60" i="1" s="1"/>
  <c r="FD23" i="1"/>
  <c r="FD18" i="1" s="1"/>
  <c r="FD11" i="1" s="1"/>
  <c r="FD60" i="1" s="1"/>
  <c r="FH23" i="1"/>
  <c r="FH18" i="1" s="1"/>
  <c r="FH11" i="1" s="1"/>
  <c r="FH60" i="1" s="1"/>
  <c r="FI23" i="1"/>
  <c r="FI18" i="1" s="1"/>
  <c r="FI11" i="1" s="1"/>
  <c r="FI60" i="1" s="1"/>
  <c r="FG23" i="1"/>
  <c r="FG18" i="1" s="1"/>
  <c r="FG11" i="1" s="1"/>
  <c r="FG60" i="1" s="1"/>
  <c r="FF23" i="1"/>
  <c r="FF18" i="1" s="1"/>
  <c r="FF11" i="1" s="1"/>
  <c r="FF60" i="1" s="1"/>
  <c r="FE23" i="1"/>
  <c r="FE18" i="1" s="1"/>
  <c r="FE11" i="1" s="1"/>
  <c r="FE60" i="1" s="1"/>
  <c r="FB36" i="1"/>
  <c r="FC36" i="1"/>
  <c r="FC54" i="1"/>
  <c r="FC50" i="1" s="1"/>
  <c r="FB54" i="1"/>
  <c r="FB50" i="1" s="1"/>
  <c r="FC24" i="1"/>
  <c r="FB24" i="1"/>
  <c r="FC19" i="1"/>
  <c r="FB19" i="1"/>
  <c r="FC13" i="1"/>
  <c r="FB13" i="1"/>
  <c r="FB23" i="1" l="1"/>
  <c r="FC23" i="1"/>
  <c r="FC18" i="1" s="1"/>
  <c r="FC11" i="1" s="1"/>
  <c r="FC60" i="1" s="1"/>
  <c r="FA54" i="1"/>
  <c r="FA50" i="1" s="1"/>
  <c r="EZ54" i="1"/>
  <c r="EZ50" i="1" s="1"/>
  <c r="FA36" i="1"/>
  <c r="EZ36" i="1"/>
  <c r="FA24" i="1"/>
  <c r="EZ24" i="1"/>
  <c r="FA19" i="1"/>
  <c r="EZ19" i="1"/>
  <c r="FA13" i="1"/>
  <c r="EZ13" i="1"/>
  <c r="FB18" i="1" l="1"/>
  <c r="FB11" i="1" s="1"/>
  <c r="FB60" i="1" s="1"/>
  <c r="FA23" i="1"/>
  <c r="FA18" i="1" s="1"/>
  <c r="FA11" i="1" s="1"/>
  <c r="FA60" i="1" s="1"/>
  <c r="EZ23" i="1"/>
  <c r="EZ18" i="1" s="1"/>
  <c r="EZ11" i="1" s="1"/>
  <c r="EZ60" i="1" s="1"/>
  <c r="EY54" i="1"/>
  <c r="EY50" i="1" s="1"/>
  <c r="EX54" i="1"/>
  <c r="EX50" i="1" s="1"/>
  <c r="EY36" i="1"/>
  <c r="EX36" i="1"/>
  <c r="EY24" i="1"/>
  <c r="EX24" i="1"/>
  <c r="EY19" i="1"/>
  <c r="EX19" i="1"/>
  <c r="EY13" i="1"/>
  <c r="EX13" i="1"/>
  <c r="EX23" i="1" l="1"/>
  <c r="EX18" i="1" s="1"/>
  <c r="EX11" i="1" s="1"/>
  <c r="EX60" i="1" s="1"/>
  <c r="EY23" i="1"/>
  <c r="EY18" i="1" s="1"/>
  <c r="EY11" i="1" s="1"/>
  <c r="EY60" i="1" s="1"/>
  <c r="EW54" i="1"/>
  <c r="EW50" i="1" s="1"/>
  <c r="EV54" i="1"/>
  <c r="EV50" i="1" s="1"/>
  <c r="EW36" i="1"/>
  <c r="EV36" i="1"/>
  <c r="EW24" i="1"/>
  <c r="EV24" i="1"/>
  <c r="EW19" i="1"/>
  <c r="EV19" i="1"/>
  <c r="EW13" i="1"/>
  <c r="EV13" i="1"/>
  <c r="EW23" i="1" l="1"/>
  <c r="EW18" i="1" s="1"/>
  <c r="EW11" i="1" s="1"/>
  <c r="EW60" i="1" s="1"/>
  <c r="EV23" i="1"/>
  <c r="EV18" i="1" s="1"/>
  <c r="EV11" i="1" s="1"/>
  <c r="EV60" i="1" s="1"/>
  <c r="EU54" i="1"/>
  <c r="EU50" i="1" s="1"/>
  <c r="ET54" i="1"/>
  <c r="ET50" i="1" s="1"/>
  <c r="EU36" i="1"/>
  <c r="ET36" i="1"/>
  <c r="EU24" i="1"/>
  <c r="ET24" i="1"/>
  <c r="EU19" i="1"/>
  <c r="ET19" i="1"/>
  <c r="EU13" i="1"/>
  <c r="ET13" i="1"/>
  <c r="ET23" i="1" l="1"/>
  <c r="ET18" i="1" s="1"/>
  <c r="ET11" i="1" s="1"/>
  <c r="ET60" i="1" s="1"/>
  <c r="EU23" i="1"/>
  <c r="EU18" i="1" s="1"/>
  <c r="EU11" i="1" s="1"/>
  <c r="EU60" i="1" s="1"/>
  <c r="ES54" i="1"/>
  <c r="ES50" i="1" s="1"/>
  <c r="ER54" i="1"/>
  <c r="ER50" i="1" s="1"/>
  <c r="ES36" i="1"/>
  <c r="ER36" i="1"/>
  <c r="ES24" i="1"/>
  <c r="ER24" i="1"/>
  <c r="ES19" i="1"/>
  <c r="ER19" i="1"/>
  <c r="ES13" i="1"/>
  <c r="ER13" i="1"/>
  <c r="ES23" i="1" l="1"/>
  <c r="ES18" i="1" s="1"/>
  <c r="ES11" i="1" s="1"/>
  <c r="ES60" i="1" s="1"/>
  <c r="ER23" i="1"/>
  <c r="ER18" i="1" s="1"/>
  <c r="ER11" i="1" s="1"/>
  <c r="ER60" i="1" s="1"/>
  <c r="EQ54" i="1"/>
  <c r="EQ50" i="1" s="1"/>
  <c r="EP54" i="1"/>
  <c r="EP50" i="1" s="1"/>
  <c r="EQ36" i="1"/>
  <c r="EP36" i="1"/>
  <c r="EQ24" i="1"/>
  <c r="EP24" i="1"/>
  <c r="EQ19" i="1"/>
  <c r="EP19" i="1"/>
  <c r="EQ13" i="1"/>
  <c r="EP13" i="1"/>
  <c r="EP23" i="1" l="1"/>
  <c r="EP18" i="1" s="1"/>
  <c r="EP11" i="1" s="1"/>
  <c r="EP60" i="1" s="1"/>
  <c r="EQ23" i="1"/>
  <c r="EQ18" i="1" s="1"/>
  <c r="EQ11" i="1" s="1"/>
  <c r="EQ60" i="1" s="1"/>
  <c r="EO54" i="1"/>
  <c r="EO50" i="1" s="1"/>
  <c r="EN54" i="1"/>
  <c r="EN50" i="1" s="1"/>
  <c r="EO36" i="1"/>
  <c r="EN36" i="1"/>
  <c r="EO24" i="1"/>
  <c r="EN24" i="1"/>
  <c r="EO19" i="1"/>
  <c r="EN19" i="1"/>
  <c r="EO13" i="1"/>
  <c r="EN13" i="1"/>
  <c r="EN23" i="1" l="1"/>
  <c r="EN18" i="1" s="1"/>
  <c r="EN11" i="1" s="1"/>
  <c r="EN60" i="1" s="1"/>
  <c r="EO23" i="1"/>
  <c r="EO18" i="1" s="1"/>
  <c r="EO11" i="1" s="1"/>
  <c r="EO60" i="1" s="1"/>
  <c r="EF54" i="1"/>
  <c r="EF50" i="1" s="1"/>
  <c r="EG54" i="1"/>
  <c r="EG50" i="1" s="1"/>
  <c r="EH54" i="1"/>
  <c r="EH50" i="1" s="1"/>
  <c r="EI54" i="1"/>
  <c r="EI50" i="1" s="1"/>
  <c r="EJ54" i="1"/>
  <c r="EJ50" i="1" s="1"/>
  <c r="EK54" i="1"/>
  <c r="EK50" i="1" s="1"/>
  <c r="EL54" i="1"/>
  <c r="EL50" i="1" s="1"/>
  <c r="EM54" i="1"/>
  <c r="EM50" i="1" s="1"/>
  <c r="EF36" i="1"/>
  <c r="EG36" i="1"/>
  <c r="EH36" i="1"/>
  <c r="EI36" i="1"/>
  <c r="EJ36" i="1"/>
  <c r="EK36" i="1"/>
  <c r="EL36" i="1"/>
  <c r="EM36" i="1"/>
  <c r="EF24" i="1"/>
  <c r="EG24" i="1"/>
  <c r="EH24" i="1"/>
  <c r="EI24" i="1"/>
  <c r="EJ24" i="1"/>
  <c r="EK24" i="1"/>
  <c r="EL24" i="1"/>
  <c r="EM24" i="1"/>
  <c r="EF19" i="1"/>
  <c r="EG19" i="1"/>
  <c r="EH19" i="1"/>
  <c r="EI19" i="1"/>
  <c r="EJ19" i="1"/>
  <c r="EK19" i="1"/>
  <c r="EL19" i="1"/>
  <c r="EM19" i="1"/>
  <c r="EF13" i="1"/>
  <c r="EG13" i="1"/>
  <c r="EH13" i="1"/>
  <c r="EI13" i="1"/>
  <c r="EJ13" i="1"/>
  <c r="EK13" i="1"/>
  <c r="EL13" i="1"/>
  <c r="EM13" i="1"/>
  <c r="EI23" i="1" l="1"/>
  <c r="EI18" i="1" s="1"/>
  <c r="EI11" i="1" s="1"/>
  <c r="EI60" i="1" s="1"/>
  <c r="EH23" i="1"/>
  <c r="EH18" i="1" s="1"/>
  <c r="EH11" i="1" s="1"/>
  <c r="EH60" i="1" s="1"/>
  <c r="EK23" i="1"/>
  <c r="EK18" i="1" s="1"/>
  <c r="EK11" i="1" s="1"/>
  <c r="EK60" i="1" s="1"/>
  <c r="EG23" i="1"/>
  <c r="EG18" i="1" s="1"/>
  <c r="EG11" i="1" s="1"/>
  <c r="EG60" i="1" s="1"/>
  <c r="EF23" i="1"/>
  <c r="EF18" i="1" s="1"/>
  <c r="EF11" i="1" s="1"/>
  <c r="EF60" i="1" s="1"/>
  <c r="EL23" i="1"/>
  <c r="EL18" i="1" s="1"/>
  <c r="EL11" i="1" s="1"/>
  <c r="EL60" i="1" s="1"/>
  <c r="EJ23" i="1"/>
  <c r="EJ18" i="1" s="1"/>
  <c r="EJ11" i="1" s="1"/>
  <c r="EJ60" i="1" s="1"/>
  <c r="EM23" i="1"/>
  <c r="EM18" i="1" s="1"/>
  <c r="EM11" i="1" s="1"/>
  <c r="EM60" i="1" s="1"/>
  <c r="EE54" i="1"/>
  <c r="EE50" i="1" s="1"/>
  <c r="ED54" i="1"/>
  <c r="ED50" i="1" s="1"/>
  <c r="EC54" i="1"/>
  <c r="EC50" i="1" s="1"/>
  <c r="EB54" i="1"/>
  <c r="EB50" i="1" s="1"/>
  <c r="EA54" i="1"/>
  <c r="EA50" i="1" s="1"/>
  <c r="DZ54" i="1"/>
  <c r="DZ50" i="1" s="1"/>
  <c r="DY54" i="1"/>
  <c r="DY50" i="1" s="1"/>
  <c r="DX54" i="1"/>
  <c r="DX50" i="1" s="1"/>
  <c r="DW54" i="1"/>
  <c r="DW50" i="1" s="1"/>
  <c r="DV54" i="1"/>
  <c r="DV50" i="1" s="1"/>
  <c r="DU54" i="1"/>
  <c r="DU50" i="1" s="1"/>
  <c r="DT54" i="1"/>
  <c r="DT50" i="1" s="1"/>
  <c r="DS54" i="1"/>
  <c r="DS50" i="1" s="1"/>
  <c r="DR54" i="1"/>
  <c r="DR50" i="1" s="1"/>
  <c r="DQ54" i="1"/>
  <c r="DP54" i="1"/>
  <c r="DP50" i="1" s="1"/>
  <c r="DO54" i="1"/>
  <c r="DO50" i="1" s="1"/>
  <c r="DN54" i="1"/>
  <c r="DN50" i="1" s="1"/>
  <c r="DM54" i="1"/>
  <c r="DM50" i="1" s="1"/>
  <c r="DL54" i="1"/>
  <c r="DL50" i="1" s="1"/>
  <c r="DK54" i="1"/>
  <c r="DK50" i="1" s="1"/>
  <c r="DJ54" i="1"/>
  <c r="DJ50" i="1" s="1"/>
  <c r="DI54" i="1"/>
  <c r="DI50" i="1" s="1"/>
  <c r="DH54" i="1"/>
  <c r="DH50" i="1" s="1"/>
  <c r="DG54" i="1"/>
  <c r="DG50" i="1" s="1"/>
  <c r="DF54" i="1"/>
  <c r="DF50" i="1" s="1"/>
  <c r="DE54" i="1"/>
  <c r="DE50" i="1" s="1"/>
  <c r="DD54" i="1"/>
  <c r="DD50" i="1" s="1"/>
  <c r="DC54" i="1"/>
  <c r="DC50" i="1" s="1"/>
  <c r="DB54" i="1"/>
  <c r="DB50" i="1" s="1"/>
  <c r="DA54" i="1"/>
  <c r="DA50" i="1" s="1"/>
  <c r="CZ54" i="1"/>
  <c r="CZ50" i="1" s="1"/>
  <c r="CY54" i="1"/>
  <c r="CY50" i="1" s="1"/>
  <c r="CX54" i="1"/>
  <c r="CX50" i="1" s="1"/>
  <c r="CW54" i="1"/>
  <c r="CW50" i="1" s="1"/>
  <c r="CV54" i="1"/>
  <c r="CV50" i="1" s="1"/>
  <c r="CU54" i="1"/>
  <c r="CU50" i="1" s="1"/>
  <c r="CT54" i="1"/>
  <c r="CT50" i="1" s="1"/>
  <c r="CS54" i="1"/>
  <c r="CS50" i="1" s="1"/>
  <c r="CR54" i="1"/>
  <c r="CR50" i="1" s="1"/>
  <c r="CQ54" i="1"/>
  <c r="CQ50" i="1" s="1"/>
  <c r="CP54" i="1"/>
  <c r="CP50" i="1" s="1"/>
  <c r="CO54" i="1"/>
  <c r="CO50" i="1" s="1"/>
  <c r="CN54" i="1"/>
  <c r="CN50" i="1" s="1"/>
  <c r="CM54" i="1"/>
  <c r="CM50" i="1" s="1"/>
  <c r="CL54" i="1"/>
  <c r="CL50" i="1" s="1"/>
  <c r="CK54" i="1"/>
  <c r="CK50" i="1" s="1"/>
  <c r="CJ54" i="1"/>
  <c r="CJ50" i="1" s="1"/>
  <c r="CI54" i="1"/>
  <c r="CI50" i="1" s="1"/>
  <c r="CH54" i="1"/>
  <c r="CH50" i="1" s="1"/>
  <c r="CG54" i="1"/>
  <c r="CG50" i="1" s="1"/>
  <c r="CF54" i="1"/>
  <c r="CF50" i="1" s="1"/>
  <c r="CE54" i="1"/>
  <c r="CE50" i="1" s="1"/>
  <c r="CD54" i="1"/>
  <c r="CD50" i="1" s="1"/>
  <c r="CC54" i="1"/>
  <c r="CC50" i="1" s="1"/>
  <c r="CB54" i="1"/>
  <c r="CB50" i="1" s="1"/>
  <c r="CA54" i="1"/>
  <c r="CA50" i="1" s="1"/>
  <c r="BZ54" i="1"/>
  <c r="BZ50" i="1" s="1"/>
  <c r="BY54" i="1"/>
  <c r="BY50" i="1" s="1"/>
  <c r="BX54" i="1"/>
  <c r="BX50" i="1" s="1"/>
  <c r="BW54" i="1"/>
  <c r="BW50" i="1" s="1"/>
  <c r="BV54" i="1"/>
  <c r="BV50" i="1" s="1"/>
  <c r="BU54" i="1"/>
  <c r="BU50" i="1" s="1"/>
  <c r="BT54" i="1"/>
  <c r="BT50" i="1" s="1"/>
  <c r="BS54" i="1"/>
  <c r="BS50" i="1" s="1"/>
  <c r="BR54" i="1"/>
  <c r="BR50" i="1" s="1"/>
  <c r="BQ54" i="1"/>
  <c r="BQ50" i="1" s="1"/>
  <c r="BP54" i="1"/>
  <c r="BP50" i="1" s="1"/>
  <c r="BO54" i="1"/>
  <c r="BO50" i="1" s="1"/>
  <c r="BN54" i="1"/>
  <c r="BN50" i="1" s="1"/>
  <c r="BM54" i="1"/>
  <c r="BM50" i="1" s="1"/>
  <c r="BL54" i="1"/>
  <c r="BL50" i="1" s="1"/>
  <c r="BK54" i="1"/>
  <c r="BK50" i="1" s="1"/>
  <c r="BJ54" i="1"/>
  <c r="BJ50" i="1" s="1"/>
  <c r="BI54" i="1"/>
  <c r="BI50" i="1" s="1"/>
  <c r="BH54" i="1"/>
  <c r="BH50" i="1" s="1"/>
  <c r="BG54" i="1"/>
  <c r="BG50" i="1" s="1"/>
  <c r="BF54" i="1"/>
  <c r="BF50" i="1" s="1"/>
  <c r="BE54" i="1"/>
  <c r="BE50" i="1" s="1"/>
  <c r="BD54" i="1"/>
  <c r="BD50" i="1" s="1"/>
  <c r="BC54" i="1"/>
  <c r="BC50" i="1" s="1"/>
  <c r="BB54" i="1"/>
  <c r="BB50" i="1" s="1"/>
  <c r="BA54" i="1"/>
  <c r="BA50" i="1" s="1"/>
  <c r="AZ54" i="1"/>
  <c r="AZ50" i="1" s="1"/>
  <c r="AY54" i="1"/>
  <c r="AY50" i="1" s="1"/>
  <c r="AX54" i="1"/>
  <c r="AX50" i="1" s="1"/>
  <c r="AW54" i="1"/>
  <c r="AW50" i="1" s="1"/>
  <c r="AV54" i="1"/>
  <c r="AV50" i="1" s="1"/>
  <c r="AU54" i="1"/>
  <c r="AU50" i="1" s="1"/>
  <c r="AT54" i="1"/>
  <c r="AT50" i="1" s="1"/>
  <c r="AS54" i="1"/>
  <c r="AS50" i="1" s="1"/>
  <c r="AR54" i="1"/>
  <c r="AR50" i="1" s="1"/>
  <c r="AQ54" i="1"/>
  <c r="AQ50" i="1" s="1"/>
  <c r="AP54" i="1"/>
  <c r="AP50" i="1" s="1"/>
  <c r="AO54" i="1"/>
  <c r="AO50" i="1" s="1"/>
  <c r="AN54" i="1"/>
  <c r="AN50" i="1" s="1"/>
  <c r="AM54" i="1"/>
  <c r="AM50" i="1" s="1"/>
  <c r="AL54" i="1"/>
  <c r="AL50" i="1" s="1"/>
  <c r="AK54" i="1"/>
  <c r="AK50" i="1" s="1"/>
  <c r="AJ54" i="1"/>
  <c r="AJ50" i="1" s="1"/>
  <c r="AI54" i="1"/>
  <c r="AI50" i="1" s="1"/>
  <c r="AH54" i="1"/>
  <c r="AH50" i="1" s="1"/>
  <c r="AG54" i="1"/>
  <c r="AG50" i="1" s="1"/>
  <c r="AF54" i="1"/>
  <c r="AF50" i="1" s="1"/>
  <c r="AE54" i="1"/>
  <c r="AE50" i="1" s="1"/>
  <c r="AD54" i="1"/>
  <c r="AD50" i="1" s="1"/>
  <c r="AC54" i="1"/>
  <c r="AC50" i="1" s="1"/>
  <c r="AB54" i="1"/>
  <c r="AB50" i="1" s="1"/>
  <c r="AA54" i="1"/>
  <c r="AA50" i="1" s="1"/>
  <c r="Z54" i="1"/>
  <c r="Z50" i="1" s="1"/>
  <c r="Y54" i="1"/>
  <c r="Y50" i="1" s="1"/>
  <c r="X54" i="1"/>
  <c r="X50" i="1" s="1"/>
  <c r="W54" i="1"/>
  <c r="W50" i="1" s="1"/>
  <c r="V54" i="1"/>
  <c r="V50" i="1" s="1"/>
  <c r="U54" i="1"/>
  <c r="U50" i="1" s="1"/>
  <c r="T54" i="1"/>
  <c r="T50" i="1" s="1"/>
  <c r="S54" i="1"/>
  <c r="S50" i="1" s="1"/>
  <c r="R54" i="1"/>
  <c r="R50" i="1" s="1"/>
  <c r="Q54" i="1"/>
  <c r="Q50" i="1" s="1"/>
  <c r="P54" i="1"/>
  <c r="P50" i="1" s="1"/>
  <c r="O54" i="1"/>
  <c r="O50" i="1" s="1"/>
  <c r="N54" i="1"/>
  <c r="N50" i="1" s="1"/>
  <c r="M54" i="1"/>
  <c r="M50" i="1" s="1"/>
  <c r="L54" i="1"/>
  <c r="L50" i="1" s="1"/>
  <c r="K54" i="1"/>
  <c r="K50" i="1" s="1"/>
  <c r="J54" i="1"/>
  <c r="J50" i="1" s="1"/>
  <c r="I54" i="1"/>
  <c r="I50" i="1" s="1"/>
  <c r="H54" i="1"/>
  <c r="H50" i="1" s="1"/>
  <c r="G54" i="1"/>
  <c r="G50" i="1" s="1"/>
  <c r="F54" i="1"/>
  <c r="F50" i="1" s="1"/>
  <c r="E54" i="1"/>
  <c r="E50" i="1" s="1"/>
  <c r="D54" i="1"/>
  <c r="D50" i="1" s="1"/>
  <c r="C54" i="1"/>
  <c r="C50" i="1" s="1"/>
  <c r="B54" i="1"/>
  <c r="B50" i="1" s="1"/>
  <c r="DQ50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R23" i="1" l="1"/>
  <c r="R18" i="1" s="1"/>
  <c r="R11" i="1" s="1"/>
  <c r="R60" i="1" s="1"/>
  <c r="BZ23" i="1"/>
  <c r="BZ18" i="1" s="1"/>
  <c r="BZ11" i="1" s="1"/>
  <c r="BZ60" i="1" s="1"/>
  <c r="CX23" i="1"/>
  <c r="CX18" i="1" s="1"/>
  <c r="CX11" i="1" s="1"/>
  <c r="CX60" i="1" s="1"/>
  <c r="DV23" i="1"/>
  <c r="G23" i="1"/>
  <c r="G18" i="1" s="1"/>
  <c r="G11" i="1" s="1"/>
  <c r="G60" i="1" s="1"/>
  <c r="AE23" i="1"/>
  <c r="AE18" i="1" s="1"/>
  <c r="AE11" i="1" s="1"/>
  <c r="AE60" i="1" s="1"/>
  <c r="BC23" i="1"/>
  <c r="BC18" i="1" s="1"/>
  <c r="BC11" i="1" s="1"/>
  <c r="BC60" i="1" s="1"/>
  <c r="CA23" i="1"/>
  <c r="CA18" i="1" s="1"/>
  <c r="CA11" i="1" s="1"/>
  <c r="CA60" i="1" s="1"/>
  <c r="CM23" i="1"/>
  <c r="CM18" i="1" s="1"/>
  <c r="CM11" i="1" s="1"/>
  <c r="CM60" i="1" s="1"/>
  <c r="CY23" i="1"/>
  <c r="CY18" i="1" s="1"/>
  <c r="CY11" i="1" s="1"/>
  <c r="CY60" i="1" s="1"/>
  <c r="DW23" i="1"/>
  <c r="DW18" i="1" s="1"/>
  <c r="DW11" i="1" s="1"/>
  <c r="DW60" i="1" s="1"/>
  <c r="BI23" i="1"/>
  <c r="BI18" i="1" s="1"/>
  <c r="BI11" i="1" s="1"/>
  <c r="BI60" i="1" s="1"/>
  <c r="BJ23" i="1"/>
  <c r="BJ18" i="1" s="1"/>
  <c r="BJ11" i="1" s="1"/>
  <c r="BJ60" i="1" s="1"/>
  <c r="DF23" i="1"/>
  <c r="DF18" i="1" s="1"/>
  <c r="DF11" i="1" s="1"/>
  <c r="DF60" i="1" s="1"/>
  <c r="DR23" i="1"/>
  <c r="DR18" i="1" s="1"/>
  <c r="DR11" i="1" s="1"/>
  <c r="DR60" i="1" s="1"/>
  <c r="ED23" i="1"/>
  <c r="ED18" i="1" s="1"/>
  <c r="ED11" i="1" s="1"/>
  <c r="ED60" i="1" s="1"/>
  <c r="AZ23" i="1"/>
  <c r="AZ18" i="1" s="1"/>
  <c r="AZ11" i="1" s="1"/>
  <c r="AZ60" i="1" s="1"/>
  <c r="DU23" i="1"/>
  <c r="DU18" i="1" s="1"/>
  <c r="DU11" i="1" s="1"/>
  <c r="DU60" i="1" s="1"/>
  <c r="O23" i="1"/>
  <c r="O18" i="1" s="1"/>
  <c r="O11" i="1" s="1"/>
  <c r="O60" i="1" s="1"/>
  <c r="AA23" i="1"/>
  <c r="AA18" i="1" s="1"/>
  <c r="AA11" i="1" s="1"/>
  <c r="AA60" i="1" s="1"/>
  <c r="AM23" i="1"/>
  <c r="AM18" i="1" s="1"/>
  <c r="AM11" i="1" s="1"/>
  <c r="AM60" i="1" s="1"/>
  <c r="BK23" i="1"/>
  <c r="BK18" i="1" s="1"/>
  <c r="BK11" i="1" s="1"/>
  <c r="BK60" i="1" s="1"/>
  <c r="CI23" i="1"/>
  <c r="CI18" i="1" s="1"/>
  <c r="CI11" i="1" s="1"/>
  <c r="CI60" i="1" s="1"/>
  <c r="DG23" i="1"/>
  <c r="DG18" i="1" s="1"/>
  <c r="DG11" i="1" s="1"/>
  <c r="DG60" i="1" s="1"/>
  <c r="EE23" i="1"/>
  <c r="EE18" i="1" s="1"/>
  <c r="EE11" i="1" s="1"/>
  <c r="EE60" i="1" s="1"/>
  <c r="CP23" i="1"/>
  <c r="CP18" i="1" s="1"/>
  <c r="CP11" i="1" s="1"/>
  <c r="CP60" i="1" s="1"/>
  <c r="DB23" i="1"/>
  <c r="DB18" i="1" s="1"/>
  <c r="DB11" i="1" s="1"/>
  <c r="DB60" i="1" s="1"/>
  <c r="DN23" i="1"/>
  <c r="DN18" i="1" s="1"/>
  <c r="DN11" i="1" s="1"/>
  <c r="DN60" i="1" s="1"/>
  <c r="BP23" i="1"/>
  <c r="BP18" i="1" s="1"/>
  <c r="BP11" i="1" s="1"/>
  <c r="BP60" i="1" s="1"/>
  <c r="K23" i="1"/>
  <c r="K18" i="1" s="1"/>
  <c r="K11" i="1" s="1"/>
  <c r="K60" i="1" s="1"/>
  <c r="W23" i="1"/>
  <c r="W18" i="1" s="1"/>
  <c r="W11" i="1" s="1"/>
  <c r="W60" i="1" s="1"/>
  <c r="AU23" i="1"/>
  <c r="AU18" i="1" s="1"/>
  <c r="AU11" i="1" s="1"/>
  <c r="AU60" i="1" s="1"/>
  <c r="BS23" i="1"/>
  <c r="BS18" i="1" s="1"/>
  <c r="BS11" i="1" s="1"/>
  <c r="BS60" i="1" s="1"/>
  <c r="CQ23" i="1"/>
  <c r="CQ18" i="1" s="1"/>
  <c r="CQ11" i="1" s="1"/>
  <c r="CQ60" i="1" s="1"/>
  <c r="DO23" i="1"/>
  <c r="DO18" i="1" s="1"/>
  <c r="DO11" i="1" s="1"/>
  <c r="DO60" i="1" s="1"/>
  <c r="E23" i="1"/>
  <c r="E18" i="1" s="1"/>
  <c r="E11" i="1" s="1"/>
  <c r="E60" i="1" s="1"/>
  <c r="M23" i="1"/>
  <c r="M18" i="1" s="1"/>
  <c r="M11" i="1" s="1"/>
  <c r="M60" i="1" s="1"/>
  <c r="U23" i="1"/>
  <c r="U18" i="1" s="1"/>
  <c r="U11" i="1" s="1"/>
  <c r="U60" i="1" s="1"/>
  <c r="AC23" i="1"/>
  <c r="AC18" i="1" s="1"/>
  <c r="AC11" i="1" s="1"/>
  <c r="AC60" i="1" s="1"/>
  <c r="AK23" i="1"/>
  <c r="AK18" i="1" s="1"/>
  <c r="AK11" i="1" s="1"/>
  <c r="AK60" i="1" s="1"/>
  <c r="BA23" i="1"/>
  <c r="BA18" i="1" s="1"/>
  <c r="BA11" i="1" s="1"/>
  <c r="BA60" i="1" s="1"/>
  <c r="D23" i="1"/>
  <c r="D18" i="1" s="1"/>
  <c r="D11" i="1" s="1"/>
  <c r="D60" i="1" s="1"/>
  <c r="L23" i="1"/>
  <c r="L18" i="1" s="1"/>
  <c r="L11" i="1" s="1"/>
  <c r="L60" i="1" s="1"/>
  <c r="T23" i="1"/>
  <c r="T18" i="1" s="1"/>
  <c r="T11" i="1" s="1"/>
  <c r="T60" i="1" s="1"/>
  <c r="AB23" i="1"/>
  <c r="AB18" i="1" s="1"/>
  <c r="AB11" i="1" s="1"/>
  <c r="AB60" i="1" s="1"/>
  <c r="AJ23" i="1"/>
  <c r="AJ18" i="1" s="1"/>
  <c r="AJ11" i="1" s="1"/>
  <c r="AJ60" i="1" s="1"/>
  <c r="AR23" i="1"/>
  <c r="AR18" i="1" s="1"/>
  <c r="AR11" i="1" s="1"/>
  <c r="AR60" i="1" s="1"/>
  <c r="BH23" i="1"/>
  <c r="BH18" i="1" s="1"/>
  <c r="BH11" i="1" s="1"/>
  <c r="BH60" i="1" s="1"/>
  <c r="BX23" i="1"/>
  <c r="BX18" i="1" s="1"/>
  <c r="BX11" i="1" s="1"/>
  <c r="BX60" i="1" s="1"/>
  <c r="CF23" i="1"/>
  <c r="CF18" i="1" s="1"/>
  <c r="CF11" i="1" s="1"/>
  <c r="CF60" i="1" s="1"/>
  <c r="CN23" i="1"/>
  <c r="CN18" i="1" s="1"/>
  <c r="CN11" i="1" s="1"/>
  <c r="CN60" i="1" s="1"/>
  <c r="CV23" i="1"/>
  <c r="CV18" i="1" s="1"/>
  <c r="CV11" i="1" s="1"/>
  <c r="CV60" i="1" s="1"/>
  <c r="DD23" i="1"/>
  <c r="DD18" i="1" s="1"/>
  <c r="DD11" i="1" s="1"/>
  <c r="DD60" i="1" s="1"/>
  <c r="DL23" i="1"/>
  <c r="DL18" i="1" s="1"/>
  <c r="DL11" i="1" s="1"/>
  <c r="DL60" i="1" s="1"/>
  <c r="DT23" i="1"/>
  <c r="DT18" i="1" s="1"/>
  <c r="DT11" i="1" s="1"/>
  <c r="DT60" i="1" s="1"/>
  <c r="EB23" i="1"/>
  <c r="EB18" i="1" s="1"/>
  <c r="EB11" i="1" s="1"/>
  <c r="EB60" i="1" s="1"/>
  <c r="H23" i="1"/>
  <c r="H18" i="1" s="1"/>
  <c r="H11" i="1" s="1"/>
  <c r="H60" i="1" s="1"/>
  <c r="P23" i="1"/>
  <c r="P18" i="1" s="1"/>
  <c r="P11" i="1" s="1"/>
  <c r="P60" i="1" s="1"/>
  <c r="X23" i="1"/>
  <c r="X18" i="1" s="1"/>
  <c r="X11" i="1" s="1"/>
  <c r="X60" i="1" s="1"/>
  <c r="AF23" i="1"/>
  <c r="AF18" i="1" s="1"/>
  <c r="AF11" i="1" s="1"/>
  <c r="AF60" i="1" s="1"/>
  <c r="AN23" i="1"/>
  <c r="AN18" i="1" s="1"/>
  <c r="AN11" i="1" s="1"/>
  <c r="AN60" i="1" s="1"/>
  <c r="AV23" i="1"/>
  <c r="AV18" i="1" s="1"/>
  <c r="AV11" i="1" s="1"/>
  <c r="AV60" i="1" s="1"/>
  <c r="BD23" i="1"/>
  <c r="BD18" i="1" s="1"/>
  <c r="BD11" i="1" s="1"/>
  <c r="BD60" i="1" s="1"/>
  <c r="BL23" i="1"/>
  <c r="BL18" i="1" s="1"/>
  <c r="BL11" i="1" s="1"/>
  <c r="BL60" i="1" s="1"/>
  <c r="BT23" i="1"/>
  <c r="BT18" i="1" s="1"/>
  <c r="BT11" i="1" s="1"/>
  <c r="BT60" i="1" s="1"/>
  <c r="CB23" i="1"/>
  <c r="CB18" i="1" s="1"/>
  <c r="CB11" i="1" s="1"/>
  <c r="CB60" i="1" s="1"/>
  <c r="CJ23" i="1"/>
  <c r="CJ18" i="1" s="1"/>
  <c r="CJ11" i="1" s="1"/>
  <c r="CJ60" i="1" s="1"/>
  <c r="CR23" i="1"/>
  <c r="CR18" i="1" s="1"/>
  <c r="CR11" i="1" s="1"/>
  <c r="CR60" i="1" s="1"/>
  <c r="CZ23" i="1"/>
  <c r="CZ18" i="1" s="1"/>
  <c r="CZ11" i="1" s="1"/>
  <c r="CZ60" i="1" s="1"/>
  <c r="DH23" i="1"/>
  <c r="DH18" i="1" s="1"/>
  <c r="DH11" i="1" s="1"/>
  <c r="DH60" i="1" s="1"/>
  <c r="DP23" i="1"/>
  <c r="DP18" i="1" s="1"/>
  <c r="DP11" i="1" s="1"/>
  <c r="DP60" i="1" s="1"/>
  <c r="DX23" i="1"/>
  <c r="DX18" i="1" s="1"/>
  <c r="DX11" i="1" s="1"/>
  <c r="DX60" i="1" s="1"/>
  <c r="B23" i="1"/>
  <c r="B18" i="1" s="1"/>
  <c r="B11" i="1" s="1"/>
  <c r="B60" i="1" s="1"/>
  <c r="J23" i="1"/>
  <c r="J18" i="1" s="1"/>
  <c r="J11" i="1" s="1"/>
  <c r="J60" i="1" s="1"/>
  <c r="Z23" i="1"/>
  <c r="Z18" i="1" s="1"/>
  <c r="Z11" i="1" s="1"/>
  <c r="Z60" i="1" s="1"/>
  <c r="AH23" i="1"/>
  <c r="AH18" i="1" s="1"/>
  <c r="AH11" i="1" s="1"/>
  <c r="AH60" i="1" s="1"/>
  <c r="AP23" i="1"/>
  <c r="AP18" i="1" s="1"/>
  <c r="AP11" i="1" s="1"/>
  <c r="AP60" i="1" s="1"/>
  <c r="AX23" i="1"/>
  <c r="AX18" i="1" s="1"/>
  <c r="AX11" i="1" s="1"/>
  <c r="AX60" i="1" s="1"/>
  <c r="BF23" i="1"/>
  <c r="BF18" i="1" s="1"/>
  <c r="BF11" i="1" s="1"/>
  <c r="BF60" i="1" s="1"/>
  <c r="BN23" i="1"/>
  <c r="BN18" i="1" s="1"/>
  <c r="BN11" i="1" s="1"/>
  <c r="BN60" i="1" s="1"/>
  <c r="BV23" i="1"/>
  <c r="BV18" i="1" s="1"/>
  <c r="BV11" i="1" s="1"/>
  <c r="BV60" i="1" s="1"/>
  <c r="CD23" i="1"/>
  <c r="CD18" i="1" s="1"/>
  <c r="CD11" i="1" s="1"/>
  <c r="CD60" i="1" s="1"/>
  <c r="CL23" i="1"/>
  <c r="CL18" i="1" s="1"/>
  <c r="CL11" i="1" s="1"/>
  <c r="CL60" i="1" s="1"/>
  <c r="CT23" i="1"/>
  <c r="CT18" i="1" s="1"/>
  <c r="CT11" i="1" s="1"/>
  <c r="CT60" i="1" s="1"/>
  <c r="DJ23" i="1"/>
  <c r="DJ18" i="1" s="1"/>
  <c r="DJ11" i="1" s="1"/>
  <c r="DJ60" i="1" s="1"/>
  <c r="DZ23" i="1"/>
  <c r="DZ18" i="1" s="1"/>
  <c r="DZ11" i="1" s="1"/>
  <c r="DZ60" i="1" s="1"/>
  <c r="C23" i="1"/>
  <c r="C18" i="1" s="1"/>
  <c r="C11" i="1" s="1"/>
  <c r="C60" i="1" s="1"/>
  <c r="CE23" i="1"/>
  <c r="CE18" i="1" s="1"/>
  <c r="CE11" i="1" s="1"/>
  <c r="CE60" i="1" s="1"/>
  <c r="CU23" i="1"/>
  <c r="CU18" i="1" s="1"/>
  <c r="CU11" i="1" s="1"/>
  <c r="CU60" i="1" s="1"/>
  <c r="S23" i="1"/>
  <c r="S18" i="1" s="1"/>
  <c r="S11" i="1" s="1"/>
  <c r="S60" i="1" s="1"/>
  <c r="AI23" i="1"/>
  <c r="AI18" i="1" s="1"/>
  <c r="AI11" i="1" s="1"/>
  <c r="AI60" i="1" s="1"/>
  <c r="AQ23" i="1"/>
  <c r="AQ18" i="1" s="1"/>
  <c r="AQ11" i="1" s="1"/>
  <c r="AQ60" i="1" s="1"/>
  <c r="AY23" i="1"/>
  <c r="AY18" i="1" s="1"/>
  <c r="AY11" i="1" s="1"/>
  <c r="AY60" i="1" s="1"/>
  <c r="BG23" i="1"/>
  <c r="BG18" i="1" s="1"/>
  <c r="BG11" i="1" s="1"/>
  <c r="BG60" i="1" s="1"/>
  <c r="BO23" i="1"/>
  <c r="BO18" i="1" s="1"/>
  <c r="BO11" i="1" s="1"/>
  <c r="BO60" i="1" s="1"/>
  <c r="BW23" i="1"/>
  <c r="BW18" i="1" s="1"/>
  <c r="BW11" i="1" s="1"/>
  <c r="BW60" i="1" s="1"/>
  <c r="DC23" i="1"/>
  <c r="DC18" i="1" s="1"/>
  <c r="DC11" i="1" s="1"/>
  <c r="DC60" i="1" s="1"/>
  <c r="DK23" i="1"/>
  <c r="DK18" i="1" s="1"/>
  <c r="DK11" i="1" s="1"/>
  <c r="DK60" i="1" s="1"/>
  <c r="DS23" i="1"/>
  <c r="DS18" i="1" s="1"/>
  <c r="DS11" i="1" s="1"/>
  <c r="DS60" i="1" s="1"/>
  <c r="EA23" i="1"/>
  <c r="EA18" i="1" s="1"/>
  <c r="EA11" i="1" s="1"/>
  <c r="EA60" i="1" s="1"/>
  <c r="AS23" i="1"/>
  <c r="AS18" i="1" s="1"/>
  <c r="AS11" i="1" s="1"/>
  <c r="AS60" i="1" s="1"/>
  <c r="BQ23" i="1"/>
  <c r="BQ18" i="1" s="1"/>
  <c r="BQ11" i="1" s="1"/>
  <c r="BQ60" i="1" s="1"/>
  <c r="BY23" i="1"/>
  <c r="BY18" i="1" s="1"/>
  <c r="BY11" i="1" s="1"/>
  <c r="BY60" i="1" s="1"/>
  <c r="CG23" i="1"/>
  <c r="CG18" i="1" s="1"/>
  <c r="CG11" i="1" s="1"/>
  <c r="CG60" i="1" s="1"/>
  <c r="CO23" i="1"/>
  <c r="CO18" i="1" s="1"/>
  <c r="CO11" i="1" s="1"/>
  <c r="CO60" i="1" s="1"/>
  <c r="CW23" i="1"/>
  <c r="CW18" i="1" s="1"/>
  <c r="CW11" i="1" s="1"/>
  <c r="CW60" i="1" s="1"/>
  <c r="DE23" i="1"/>
  <c r="DE18" i="1" s="1"/>
  <c r="DE11" i="1" s="1"/>
  <c r="DE60" i="1" s="1"/>
  <c r="DM23" i="1"/>
  <c r="DM18" i="1" s="1"/>
  <c r="DM11" i="1" s="1"/>
  <c r="DM60" i="1" s="1"/>
  <c r="EC23" i="1"/>
  <c r="EC18" i="1" s="1"/>
  <c r="EC11" i="1" s="1"/>
  <c r="EC60" i="1" s="1"/>
  <c r="F23" i="1"/>
  <c r="F18" i="1" s="1"/>
  <c r="F11" i="1" s="1"/>
  <c r="F60" i="1" s="1"/>
  <c r="N23" i="1"/>
  <c r="N18" i="1" s="1"/>
  <c r="N11" i="1" s="1"/>
  <c r="N60" i="1" s="1"/>
  <c r="V23" i="1"/>
  <c r="V18" i="1" s="1"/>
  <c r="V11" i="1" s="1"/>
  <c r="V60" i="1" s="1"/>
  <c r="AD23" i="1"/>
  <c r="AD18" i="1" s="1"/>
  <c r="AD11" i="1" s="1"/>
  <c r="AD60" i="1" s="1"/>
  <c r="AL23" i="1"/>
  <c r="AL18" i="1" s="1"/>
  <c r="AL11" i="1" s="1"/>
  <c r="AL60" i="1" s="1"/>
  <c r="AT23" i="1"/>
  <c r="AT18" i="1" s="1"/>
  <c r="AT11" i="1" s="1"/>
  <c r="AT60" i="1" s="1"/>
  <c r="BB23" i="1"/>
  <c r="BB18" i="1" s="1"/>
  <c r="BB11" i="1" s="1"/>
  <c r="BB60" i="1" s="1"/>
  <c r="BR23" i="1"/>
  <c r="BR18" i="1" s="1"/>
  <c r="BR11" i="1" s="1"/>
  <c r="BR60" i="1" s="1"/>
  <c r="CH23" i="1"/>
  <c r="CH18" i="1" s="1"/>
  <c r="CH11" i="1" s="1"/>
  <c r="CH60" i="1" s="1"/>
  <c r="I23" i="1"/>
  <c r="I18" i="1" s="1"/>
  <c r="I11" i="1" s="1"/>
  <c r="I60" i="1" s="1"/>
  <c r="Q23" i="1"/>
  <c r="Q18" i="1" s="1"/>
  <c r="Q11" i="1" s="1"/>
  <c r="Q60" i="1" s="1"/>
  <c r="Y23" i="1"/>
  <c r="Y18" i="1" s="1"/>
  <c r="Y11" i="1" s="1"/>
  <c r="Y60" i="1" s="1"/>
  <c r="AG23" i="1"/>
  <c r="AG18" i="1" s="1"/>
  <c r="AG11" i="1" s="1"/>
  <c r="AG60" i="1" s="1"/>
  <c r="AO23" i="1"/>
  <c r="AO18" i="1" s="1"/>
  <c r="AO11" i="1" s="1"/>
  <c r="AO60" i="1" s="1"/>
  <c r="AW23" i="1"/>
  <c r="AW18" i="1" s="1"/>
  <c r="AW11" i="1" s="1"/>
  <c r="AW60" i="1" s="1"/>
  <c r="BE23" i="1"/>
  <c r="BE18" i="1" s="1"/>
  <c r="BE11" i="1" s="1"/>
  <c r="BE60" i="1" s="1"/>
  <c r="BM23" i="1"/>
  <c r="BM18" i="1" s="1"/>
  <c r="BM11" i="1" s="1"/>
  <c r="BM60" i="1" s="1"/>
  <c r="BU23" i="1"/>
  <c r="BU18" i="1" s="1"/>
  <c r="BU11" i="1" s="1"/>
  <c r="BU60" i="1" s="1"/>
  <c r="CC23" i="1"/>
  <c r="CC18" i="1" s="1"/>
  <c r="CC11" i="1" s="1"/>
  <c r="CC60" i="1" s="1"/>
  <c r="CK23" i="1"/>
  <c r="CK18" i="1" s="1"/>
  <c r="CK11" i="1" s="1"/>
  <c r="CK60" i="1" s="1"/>
  <c r="CS23" i="1"/>
  <c r="CS18" i="1" s="1"/>
  <c r="CS11" i="1" s="1"/>
  <c r="CS60" i="1" s="1"/>
  <c r="DA23" i="1"/>
  <c r="DA18" i="1" s="1"/>
  <c r="DA11" i="1" s="1"/>
  <c r="DA60" i="1" s="1"/>
  <c r="DI23" i="1"/>
  <c r="DI18" i="1" s="1"/>
  <c r="DI11" i="1" s="1"/>
  <c r="DI60" i="1" s="1"/>
  <c r="DQ23" i="1"/>
  <c r="DQ18" i="1" s="1"/>
  <c r="DQ11" i="1" s="1"/>
  <c r="DQ60" i="1" s="1"/>
  <c r="DY23" i="1"/>
  <c r="DY18" i="1" s="1"/>
  <c r="DY11" i="1" s="1"/>
  <c r="DY60" i="1" s="1"/>
  <c r="DV18" i="1"/>
  <c r="DV11" i="1" s="1"/>
  <c r="DV60" i="1" s="1"/>
</calcChain>
</file>

<file path=xl/sharedStrings.xml><?xml version="1.0" encoding="utf-8"?>
<sst xmlns="http://schemas.openxmlformats.org/spreadsheetml/2006/main" count="810" uniqueCount="137">
  <si>
    <t>min manatla</t>
  </si>
  <si>
    <t>Sığorta sinifləri</t>
  </si>
  <si>
    <t>yanvar</t>
  </si>
  <si>
    <t>yanvar-fevral</t>
  </si>
  <si>
    <t>yanvar-mart</t>
  </si>
  <si>
    <t>yanvar-aprel</t>
  </si>
  <si>
    <t>yanvar-may</t>
  </si>
  <si>
    <t>yanvar-iyun</t>
  </si>
  <si>
    <t>yanvar- iyul</t>
  </si>
  <si>
    <t>yanvar-avqust</t>
  </si>
  <si>
    <t>yanvar-sentyabr</t>
  </si>
  <si>
    <t>yanvar-oktyabr</t>
  </si>
  <si>
    <t>yanvar-noyabr</t>
  </si>
  <si>
    <t>yanvar-dekabr</t>
  </si>
  <si>
    <t>Types of Insurance</t>
  </si>
  <si>
    <t>january</t>
  </si>
  <si>
    <t>january-february</t>
  </si>
  <si>
    <t>january-march</t>
  </si>
  <si>
    <t>january-april</t>
  </si>
  <si>
    <t>january-may</t>
  </si>
  <si>
    <t>january-june</t>
  </si>
  <si>
    <t>january-july</t>
  </si>
  <si>
    <t>january-august</t>
  </si>
  <si>
    <t>january-september</t>
  </si>
  <si>
    <t>January-October</t>
  </si>
  <si>
    <t>January-November</t>
  </si>
  <si>
    <t>January December</t>
  </si>
  <si>
    <t>january-october</t>
  </si>
  <si>
    <t>Sığorta ödənişləri</t>
  </si>
  <si>
    <t>Premiums</t>
  </si>
  <si>
    <t>Claims Paid</t>
  </si>
  <si>
    <t>Könüllü sığortalar üzrə - cəmi:</t>
  </si>
  <si>
    <t>Voluntary insurance, total:</t>
  </si>
  <si>
    <t xml:space="preserve"> o cümlədən:</t>
  </si>
  <si>
    <t>Həyat sığortası üzrə, o cümlədən:</t>
  </si>
  <si>
    <t>Life insurance, including:</t>
  </si>
  <si>
    <t xml:space="preserve">     həyatın yaşam sığortası</t>
  </si>
  <si>
    <t>endowment insurance</t>
  </si>
  <si>
    <t xml:space="preserve">     həyatın ölüm halından sığortası</t>
  </si>
  <si>
    <t>death insurance</t>
  </si>
  <si>
    <t xml:space="preserve">     əmək qabiliyyətinin sığortası</t>
  </si>
  <si>
    <t xml:space="preserve">     sağalmaz xəstəliklərdən sığorta</t>
  </si>
  <si>
    <t>Qeyri-həyat sığortası üzrə, o cümlədən</t>
  </si>
  <si>
    <t>Non-life insurance, including:</t>
  </si>
  <si>
    <t>Şəxsi sığorta,  o cümlədən:</t>
  </si>
  <si>
    <t>Personal insurance, including:</t>
  </si>
  <si>
    <t xml:space="preserve">    tibbi sığorta</t>
  </si>
  <si>
    <t xml:space="preserve">    xaricə səfər edən vətəndaşların sığortası</t>
  </si>
  <si>
    <t>travel insurance</t>
  </si>
  <si>
    <t xml:space="preserve">    fərdi qəza və xəstəlik sığortası</t>
  </si>
  <si>
    <t>Əmlak sığortası, o cümlədən:</t>
  </si>
  <si>
    <t>Property insurance, including:</t>
  </si>
  <si>
    <t>əmlakın sığortası,  o cümlədən:</t>
  </si>
  <si>
    <t>property insurance, including:</t>
  </si>
  <si>
    <t xml:space="preserve">     hava nəqliyyatı vasitələrinin sığortası</t>
  </si>
  <si>
    <t>aircraft insurance</t>
  </si>
  <si>
    <t xml:space="preserve">     əmlakın yanğından və digər risklərdən sığortası</t>
  </si>
  <si>
    <t xml:space="preserve">     avtonəqliyyat vasitələrinin sığortası</t>
  </si>
  <si>
    <t xml:space="preserve">     yüklərin (nəqliyyat) sığortası</t>
  </si>
  <si>
    <t xml:space="preserve">     kənd təsərrüfatı heyvanlarının sığortası</t>
  </si>
  <si>
    <t>livestock insurance</t>
  </si>
  <si>
    <t xml:space="preserve">     su nəqliyyat vasitələrinin sığortası</t>
  </si>
  <si>
    <t xml:space="preserve">     dəmiryol nəqliyyatı vasitələrinin sığortası</t>
  </si>
  <si>
    <t>railway transport insurance</t>
  </si>
  <si>
    <t xml:space="preserve">     kənd təsərrüfatı bitkiləri məhsullarının sığortası</t>
  </si>
  <si>
    <t>crop insurance</t>
  </si>
  <si>
    <t xml:space="preserve">     əmlakın sığortası ilə bağlı digər siniflər,  o cümlədən:</t>
  </si>
  <si>
    <t>other property insurances, including:</t>
  </si>
  <si>
    <t xml:space="preserve">        - işçilərin dələduzluğu sığortası</t>
  </si>
  <si>
    <t xml:space="preserve">        - pul və pul sənədlərinin saxtalaşdırılmasından sığorta</t>
  </si>
  <si>
    <t xml:space="preserve"> - insurance against counterfeit money </t>
  </si>
  <si>
    <t>mülki məsuliyyətin sığortası, o cümlədən:</t>
  </si>
  <si>
    <t xml:space="preserve">liability insurance, including: </t>
  </si>
  <si>
    <t xml:space="preserve">       hava nəqliyyatı vasitələri sahiblərinin mülki məsuliyyətinin sığortası</t>
  </si>
  <si>
    <t xml:space="preserve">aircraft owner's  liability insurance </t>
  </si>
  <si>
    <t xml:space="preserve">       ümumi mülki məsuliyyətin sığortası</t>
  </si>
  <si>
    <t xml:space="preserve">       avtonəqliyyat vasitələri sahiblərinin mülki məsuliyyətinin sığortası</t>
  </si>
  <si>
    <t xml:space="preserve">       peşə məsuliyyətinin sığortası</t>
  </si>
  <si>
    <t xml:space="preserve">       işəgötürənin məsuliyyət sığortası</t>
  </si>
  <si>
    <t>employer's liability insurance</t>
  </si>
  <si>
    <t xml:space="preserve">       yük daşıyanın mülki məsuliyyətinin sığortası</t>
  </si>
  <si>
    <t xml:space="preserve">       su nəqliyyatı vasitələri sahiblərinin mülki məsuliyyətinin sığortası</t>
  </si>
  <si>
    <t xml:space="preserve">       dəmiryol nəqliyyatı vasitələri sahiblərinin mülki məsuliyyətinin sığortası</t>
  </si>
  <si>
    <t xml:space="preserve">       mülki-hüquqi müqavilə üzrə mülki məsuliyyətin sığortası</t>
  </si>
  <si>
    <t>kredit sığortası, o cümlədən:</t>
  </si>
  <si>
    <t>credit insurance, including:</t>
  </si>
  <si>
    <t xml:space="preserve">       kreditlərin sığortası</t>
  </si>
  <si>
    <t>credit insurance</t>
  </si>
  <si>
    <t>qarışıq maliyyə risklərinin sığortası,  o cümlədən:</t>
  </si>
  <si>
    <t>other financial risks insurance, including:</t>
  </si>
  <si>
    <t xml:space="preserve">      işin dayanması ilə bağlı risklərdən sığorta</t>
  </si>
  <si>
    <t>İcbari sığortalar üzrə - cəmi:</t>
  </si>
  <si>
    <t>Compulsory insurance, total:</t>
  </si>
  <si>
    <t>Həyat sığortası üzrə</t>
  </si>
  <si>
    <t>Life insurance</t>
  </si>
  <si>
    <t xml:space="preserve">     İstehsalatda bədbəxt hadisələr və peşə xəstəlikləri nəticəsində peşə əmək qabiliyyətinin itirilməsi hallarından icbari sığorta</t>
  </si>
  <si>
    <t>Qeyri-həyat sığortası üzrə</t>
  </si>
  <si>
    <t xml:space="preserve"> avtonəqliyyat vasitəsi sahiblərinin mülki məsuliyyətinin icbari sığortası</t>
  </si>
  <si>
    <t>daşınmaz əmlakın icbari sığortası</t>
  </si>
  <si>
    <t>compulsory real estate insurance</t>
  </si>
  <si>
    <t>daşınmaz əmlakın istismarı ilə bağlı mülki məsuliyyətin icbari sığortası</t>
  </si>
  <si>
    <t>sərnişinlərin icbari fərdi qəza sığortası</t>
  </si>
  <si>
    <t>compulsory personal accident insurance for passengers</t>
  </si>
  <si>
    <t>digər icbari sığorta növləri</t>
  </si>
  <si>
    <t>other compulsory insurances</t>
  </si>
  <si>
    <t>YEKUN</t>
  </si>
  <si>
    <t>GRAND TOTAL</t>
  </si>
  <si>
    <r>
      <t xml:space="preserve">Mənbə: Azərbaycan Respublikasının Mərkəzi Bankı / </t>
    </r>
    <r>
      <rPr>
        <i/>
        <sz val="14"/>
        <color theme="8" tint="-0.249977111117893"/>
        <rFont val="Times New Roman"/>
        <family val="1"/>
      </rPr>
      <t>Source: The Central Bank of the Republic of Azerbaijan</t>
    </r>
  </si>
  <si>
    <t>including:</t>
  </si>
  <si>
    <t>accident and occupational diseases insurance</t>
  </si>
  <si>
    <t>critical illness insurance</t>
  </si>
  <si>
    <t>medical insurance</t>
  </si>
  <si>
    <t>personal accident insurance</t>
  </si>
  <si>
    <t>fire &amp; allied perils insurance</t>
  </si>
  <si>
    <t>motor vehicle insurance</t>
  </si>
  <si>
    <t>cargo insurance</t>
  </si>
  <si>
    <t>marine hull insurance</t>
  </si>
  <si>
    <t xml:space="preserve"> - fidelity guarantee insurance</t>
  </si>
  <si>
    <t>general third party liability</t>
  </si>
  <si>
    <t>third party liability insurance of motor insurance</t>
  </si>
  <si>
    <t>professional indemnity insurance</t>
  </si>
  <si>
    <t>carrier's liability insurance</t>
  </si>
  <si>
    <t>marine liability insurance</t>
  </si>
  <si>
    <t>railway liability insurance</t>
  </si>
  <si>
    <t>contractual Liability Insurance</t>
  </si>
  <si>
    <t>business interruption insurance</t>
  </si>
  <si>
    <t>compulsory insurance against loss of professional work capacity as a result of labor accidents and occupational diseases</t>
  </si>
  <si>
    <t>compulsory third party liability insurance of motor vehicles</t>
  </si>
  <si>
    <t>compulsory third party liability insurance associated with the use of the real estate</t>
  </si>
  <si>
    <t>january-november</t>
  </si>
  <si>
    <t>january-december</t>
  </si>
  <si>
    <t>yanvar-iyul</t>
  </si>
  <si>
    <t>Cədvəl 6.2. Sığorta növləri üzrə sığorta haqları və sığorta ödənişləri*</t>
  </si>
  <si>
    <t>Table 6.2. Premiums Written and Claims Paid by Insurance Types*</t>
  </si>
  <si>
    <t>* Göstəricilər operativ məlumatlar əsasında verilmişdir.</t>
  </si>
  <si>
    <t xml:space="preserve"> </t>
  </si>
  <si>
    <t>Sığorta Haqları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</si>
</sst>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-* #,##0.00_р_._-;\-* #,##0.00_р_._-;_-* &quot;-&quot;??_р_._-;_-@_-"/>
    <numFmt numFmtId="166" formatCode="_-* #,##0\ _₽_-;\-* #,##0\ _₽_-;_-* &quot;-&quot;??\ _₽_-;_-@_-"/>
    <numFmt numFmtId="167" formatCode="#,##0.0"/>
    <numFmt numFmtId="168" formatCode="_-* #,##0.0\ _₽_-;\-* #,##0.0\ _₽_-;_-* &quot;-&quot;??\ _₽_-;_-@_-"/>
    <numFmt numFmtId="169" formatCode="_(* #,##0_);_(* \(#,##0\);_(* &quot;-&quot;??_);_(@_)"/>
    <numFmt numFmtId="170" formatCode="0.0%"/>
    <numFmt numFmtId="171" formatCode="_-* #,##0_-;\-* #,##0_-;_-* &quot;-&quot;??_-;_-@_-"/>
  </numFmts>
  <fonts count="29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24"/>
      <color rgb="FF366092"/>
      <name val="Times New Roman"/>
      <family val="1"/>
    </font>
    <font>
      <sz val="10"/>
      <name val="Arial"/>
      <family val="2"/>
      <charset val="204"/>
    </font>
    <font>
      <b/>
      <sz val="36"/>
      <name val="Palatino Linotype"/>
      <family val="1"/>
    </font>
    <font>
      <sz val="12"/>
      <name val="Times New Roman"/>
      <family val="1"/>
      <charset val="204"/>
    </font>
    <font>
      <sz val="24"/>
      <color rgb="FF366092"/>
      <name val="Times New Roman"/>
      <family val="1"/>
    </font>
    <font>
      <b/>
      <sz val="22"/>
      <color rgb="FF366092"/>
      <name val="Palatino Linotype"/>
      <family val="1"/>
    </font>
    <font>
      <b/>
      <sz val="18"/>
      <color theme="0"/>
      <name val="Times New Roman"/>
      <family val="1"/>
    </font>
    <font>
      <b/>
      <i/>
      <sz val="16"/>
      <name val="Palatino Linotype"/>
      <family val="1"/>
    </font>
    <font>
      <b/>
      <sz val="14"/>
      <name val="Palatino Linotype"/>
      <family val="1"/>
    </font>
    <font>
      <b/>
      <sz val="16"/>
      <name val="Palatino Linotype"/>
      <family val="1"/>
    </font>
    <font>
      <b/>
      <sz val="16"/>
      <name val="Times New Roman"/>
      <family val="1"/>
    </font>
    <font>
      <sz val="16"/>
      <name val="Times New Roman"/>
      <family val="1"/>
      <charset val="204"/>
    </font>
    <font>
      <b/>
      <sz val="18"/>
      <color theme="1"/>
      <name val="Palatino Linotype"/>
      <family val="1"/>
    </font>
    <font>
      <sz val="10"/>
      <name val="Arial Cyr"/>
      <family val="2"/>
      <charset val="204"/>
    </font>
    <font>
      <b/>
      <i/>
      <sz val="14"/>
      <name val="Palatino Linotype"/>
      <family val="1"/>
    </font>
    <font>
      <sz val="14"/>
      <name val="Times New Roman"/>
      <family val="1"/>
      <charset val="204"/>
    </font>
    <font>
      <b/>
      <sz val="14"/>
      <color theme="1"/>
      <name val="Palatino Linotype"/>
      <family val="1"/>
    </font>
    <font>
      <sz val="14"/>
      <name val="Palatino Linotype"/>
      <family val="1"/>
    </font>
    <font>
      <sz val="14"/>
      <color theme="1"/>
      <name val="Palatino Linotype"/>
      <family val="1"/>
    </font>
    <font>
      <b/>
      <i/>
      <sz val="14"/>
      <color theme="8" tint="-0.249977111117893"/>
      <name val="Times New Roman"/>
      <family val="1"/>
    </font>
    <font>
      <i/>
      <sz val="14"/>
      <color theme="8" tint="-0.249977111117893"/>
      <name val="Times New Roman"/>
      <family val="1"/>
    </font>
    <font>
      <b/>
      <i/>
      <sz val="16"/>
      <color theme="8" tint="-0.249977111117893"/>
      <name val="Times New Roman"/>
      <family val="1"/>
    </font>
    <font>
      <sz val="10"/>
      <color theme="8" tint="-0.49998474074526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18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EBF6F9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2" fillId="0" borderId="0"/>
    <xf numFmtId="0" fontId="4" fillId="0" borderId="0"/>
    <xf numFmtId="165" fontId="16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03">
    <xf numFmtId="0" fontId="0" fillId="0" borderId="0" xfId="0"/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8" fillId="2" borderId="0" xfId="1" applyFont="1" applyFill="1" applyAlignment="1">
      <alignment vertical="center" wrapText="1"/>
    </xf>
    <xf numFmtId="0" fontId="9" fillId="3" borderId="0" xfId="1" applyFont="1" applyFill="1" applyAlignment="1">
      <alignment vertical="center" wrapText="1"/>
    </xf>
    <xf numFmtId="0" fontId="10" fillId="0" borderId="0" xfId="2" applyFont="1" applyAlignment="1">
      <alignment horizontal="right" wrapText="1"/>
    </xf>
    <xf numFmtId="0" fontId="11" fillId="0" borderId="0" xfId="2" applyFont="1" applyAlignment="1">
      <alignment wrapText="1"/>
    </xf>
    <xf numFmtId="0" fontId="12" fillId="4" borderId="1" xfId="2" applyFont="1" applyFill="1" applyBorder="1" applyAlignment="1">
      <alignment horizontal="left" wrapText="1"/>
    </xf>
    <xf numFmtId="0" fontId="14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4" fontId="19" fillId="4" borderId="1" xfId="2" applyNumberFormat="1" applyFont="1" applyFill="1" applyBorder="1" applyAlignment="1">
      <alignment horizontal="center" vertical="center" wrapText="1"/>
    </xf>
    <xf numFmtId="4" fontId="11" fillId="4" borderId="1" xfId="2" applyNumberFormat="1" applyFont="1" applyFill="1" applyBorder="1" applyAlignment="1">
      <alignment horizontal="center" vertical="center" wrapText="1"/>
    </xf>
    <xf numFmtId="0" fontId="11" fillId="0" borderId="10" xfId="2" applyFont="1" applyBorder="1" applyAlignment="1">
      <alignment horizontal="left" wrapText="1"/>
    </xf>
    <xf numFmtId="0" fontId="17" fillId="0" borderId="16" xfId="2" applyFont="1" applyBorder="1" applyAlignment="1">
      <alignment horizontal="left" wrapText="1"/>
    </xf>
    <xf numFmtId="0" fontId="11" fillId="0" borderId="16" xfId="2" applyFont="1" applyBorder="1" applyAlignment="1">
      <alignment horizontal="left" wrapText="1"/>
    </xf>
    <xf numFmtId="0" fontId="20" fillId="0" borderId="16" xfId="2" applyFont="1" applyBorder="1" applyAlignment="1">
      <alignment horizontal="left" wrapText="1"/>
    </xf>
    <xf numFmtId="0" fontId="20" fillId="0" borderId="16" xfId="2" applyFont="1" applyBorder="1" applyAlignment="1">
      <alignment horizontal="left" wrapText="1" indent="1"/>
    </xf>
    <xf numFmtId="0" fontId="20" fillId="0" borderId="16" xfId="2" applyFont="1" applyBorder="1" applyAlignment="1">
      <alignment horizontal="left" wrapText="1" indent="2"/>
    </xf>
    <xf numFmtId="0" fontId="20" fillId="0" borderId="16" xfId="2" applyFont="1" applyBorder="1" applyAlignment="1">
      <alignment horizontal="left"/>
    </xf>
    <xf numFmtId="0" fontId="20" fillId="0" borderId="16" xfId="2" applyFont="1" applyBorder="1" applyAlignment="1">
      <alignment horizontal="left" indent="1"/>
    </xf>
    <xf numFmtId="0" fontId="20" fillId="5" borderId="16" xfId="2" applyFont="1" applyFill="1" applyBorder="1" applyAlignment="1">
      <alignment horizontal="left" wrapText="1"/>
    </xf>
    <xf numFmtId="0" fontId="20" fillId="5" borderId="16" xfId="2" applyFont="1" applyFill="1" applyBorder="1" applyAlignment="1">
      <alignment horizontal="left" wrapText="1" indent="1"/>
    </xf>
    <xf numFmtId="0" fontId="20" fillId="5" borderId="16" xfId="2" applyFont="1" applyFill="1" applyBorder="1" applyAlignment="1">
      <alignment horizontal="left" indent="1"/>
    </xf>
    <xf numFmtId="0" fontId="11" fillId="0" borderId="21" xfId="2" applyFont="1" applyBorder="1" applyAlignment="1">
      <alignment horizontal="left" wrapText="1"/>
    </xf>
    <xf numFmtId="0" fontId="22" fillId="5" borderId="0" xfId="1" applyFont="1" applyFill="1" applyAlignment="1">
      <alignment vertical="center"/>
    </xf>
    <xf numFmtId="0" fontId="24" fillId="5" borderId="0" xfId="1" applyFont="1" applyFill="1" applyAlignment="1">
      <alignment vertical="center"/>
    </xf>
    <xf numFmtId="0" fontId="25" fillId="5" borderId="0" xfId="1" applyFont="1" applyFill="1" applyAlignment="1">
      <alignment vertical="center"/>
    </xf>
    <xf numFmtId="0" fontId="6" fillId="0" borderId="0" xfId="2" applyFont="1" applyAlignment="1">
      <alignment horizontal="left"/>
    </xf>
    <xf numFmtId="168" fontId="6" fillId="0" borderId="0" xfId="3" applyNumberFormat="1" applyFont="1" applyFill="1" applyAlignment="1">
      <alignment vertical="center"/>
    </xf>
    <xf numFmtId="169" fontId="6" fillId="0" borderId="0" xfId="4" applyNumberFormat="1" applyFont="1" applyFill="1" applyAlignment="1">
      <alignment vertical="center"/>
    </xf>
    <xf numFmtId="167" fontId="6" fillId="0" borderId="0" xfId="2" applyNumberFormat="1" applyFont="1" applyAlignment="1">
      <alignment vertical="center"/>
    </xf>
    <xf numFmtId="166" fontId="6" fillId="0" borderId="0" xfId="3" applyNumberFormat="1" applyFont="1" applyFill="1" applyAlignment="1">
      <alignment vertical="center"/>
    </xf>
    <xf numFmtId="4" fontId="27" fillId="0" borderId="0" xfId="2" applyNumberFormat="1" applyFont="1" applyAlignment="1">
      <alignment horizontal="center" vertical="center"/>
    </xf>
    <xf numFmtId="0" fontId="6" fillId="0" borderId="26" xfId="2" applyFont="1" applyBorder="1" applyAlignment="1">
      <alignment vertical="center"/>
    </xf>
    <xf numFmtId="4" fontId="6" fillId="0" borderId="0" xfId="2" applyNumberFormat="1" applyFont="1" applyAlignment="1">
      <alignment horizontal="center" vertical="center"/>
    </xf>
    <xf numFmtId="3" fontId="19" fillId="0" borderId="11" xfId="2" applyNumberFormat="1" applyFont="1" applyBorder="1" applyAlignment="1">
      <alignment horizontal="center" vertical="center"/>
    </xf>
    <xf numFmtId="3" fontId="19" fillId="0" borderId="12" xfId="2" applyNumberFormat="1" applyFont="1" applyBorder="1" applyAlignment="1">
      <alignment horizontal="center" vertical="center"/>
    </xf>
    <xf numFmtId="3" fontId="19" fillId="5" borderId="13" xfId="2" applyNumberFormat="1" applyFont="1" applyFill="1" applyBorder="1" applyAlignment="1">
      <alignment horizontal="center" vertical="center"/>
    </xf>
    <xf numFmtId="3" fontId="19" fillId="5" borderId="14" xfId="2" applyNumberFormat="1" applyFont="1" applyFill="1" applyBorder="1" applyAlignment="1">
      <alignment horizontal="center" vertical="center"/>
    </xf>
    <xf numFmtId="3" fontId="19" fillId="0" borderId="15" xfId="2" applyNumberFormat="1" applyFont="1" applyBorder="1" applyAlignment="1">
      <alignment horizontal="center" vertical="center"/>
    </xf>
    <xf numFmtId="3" fontId="19" fillId="0" borderId="13" xfId="2" applyNumberFormat="1" applyFont="1" applyBorder="1" applyAlignment="1">
      <alignment horizontal="center" vertical="center"/>
    </xf>
    <xf numFmtId="3" fontId="19" fillId="0" borderId="14" xfId="2" applyNumberFormat="1" applyFont="1" applyBorder="1" applyAlignment="1">
      <alignment horizontal="center" vertical="center"/>
    </xf>
    <xf numFmtId="3" fontId="19" fillId="0" borderId="30" xfId="2" applyNumberFormat="1" applyFont="1" applyBorder="1" applyAlignment="1">
      <alignment horizontal="center" vertical="center"/>
    </xf>
    <xf numFmtId="3" fontId="19" fillId="0" borderId="31" xfId="2" applyNumberFormat="1" applyFont="1" applyBorder="1" applyAlignment="1">
      <alignment horizontal="center" vertical="center"/>
    </xf>
    <xf numFmtId="3" fontId="19" fillId="0" borderId="17" xfId="2" applyNumberFormat="1" applyFont="1" applyBorder="1" applyAlignment="1">
      <alignment horizontal="center" vertical="center"/>
    </xf>
    <xf numFmtId="3" fontId="19" fillId="0" borderId="18" xfId="2" applyNumberFormat="1" applyFont="1" applyBorder="1" applyAlignment="1">
      <alignment horizontal="center" vertical="center"/>
    </xf>
    <xf numFmtId="3" fontId="19" fillId="0" borderId="16" xfId="2" applyNumberFormat="1" applyFont="1" applyBorder="1" applyAlignment="1">
      <alignment horizontal="center" vertical="center"/>
    </xf>
    <xf numFmtId="3" fontId="19" fillId="0" borderId="19" xfId="2" applyNumberFormat="1" applyFont="1" applyBorder="1" applyAlignment="1">
      <alignment horizontal="center" vertical="center"/>
    </xf>
    <xf numFmtId="3" fontId="19" fillId="0" borderId="20" xfId="2" applyNumberFormat="1" applyFont="1" applyBorder="1" applyAlignment="1">
      <alignment horizontal="center" vertical="center"/>
    </xf>
    <xf numFmtId="3" fontId="19" fillId="0" borderId="28" xfId="2" applyNumberFormat="1" applyFont="1" applyBorder="1" applyAlignment="1">
      <alignment horizontal="center" vertical="center"/>
    </xf>
    <xf numFmtId="3" fontId="21" fillId="0" borderId="17" xfId="2" applyNumberFormat="1" applyFont="1" applyBorder="1" applyAlignment="1">
      <alignment horizontal="center" vertical="center"/>
    </xf>
    <xf numFmtId="3" fontId="21" fillId="0" borderId="18" xfId="2" applyNumberFormat="1" applyFont="1" applyBorder="1" applyAlignment="1">
      <alignment horizontal="center" vertical="center"/>
    </xf>
    <xf numFmtId="3" fontId="21" fillId="0" borderId="16" xfId="2" applyNumberFormat="1" applyFont="1" applyBorder="1" applyAlignment="1">
      <alignment horizontal="center" vertical="center"/>
    </xf>
    <xf numFmtId="3" fontId="21" fillId="0" borderId="19" xfId="2" applyNumberFormat="1" applyFont="1" applyBorder="1" applyAlignment="1">
      <alignment horizontal="center" vertical="center"/>
    </xf>
    <xf numFmtId="3" fontId="21" fillId="0" borderId="20" xfId="2" applyNumberFormat="1" applyFont="1" applyBorder="1" applyAlignment="1">
      <alignment horizontal="center" vertical="center"/>
    </xf>
    <xf numFmtId="3" fontId="21" fillId="0" borderId="28" xfId="2" applyNumberFormat="1" applyFont="1" applyBorder="1" applyAlignment="1">
      <alignment horizontal="center" vertical="center"/>
    </xf>
    <xf numFmtId="3" fontId="19" fillId="5" borderId="16" xfId="2" applyNumberFormat="1" applyFont="1" applyFill="1" applyBorder="1" applyAlignment="1">
      <alignment horizontal="center" vertical="center"/>
    </xf>
    <xf numFmtId="3" fontId="19" fillId="5" borderId="19" xfId="2" applyNumberFormat="1" applyFont="1" applyFill="1" applyBorder="1" applyAlignment="1">
      <alignment horizontal="center" vertical="center"/>
    </xf>
    <xf numFmtId="3" fontId="21" fillId="5" borderId="19" xfId="2" applyNumberFormat="1" applyFont="1" applyFill="1" applyBorder="1" applyAlignment="1">
      <alignment horizontal="center" vertical="center"/>
    </xf>
    <xf numFmtId="3" fontId="21" fillId="5" borderId="16" xfId="2" applyNumberFormat="1" applyFont="1" applyFill="1" applyBorder="1" applyAlignment="1">
      <alignment horizontal="center" vertical="center"/>
    </xf>
    <xf numFmtId="3" fontId="19" fillId="5" borderId="20" xfId="2" applyNumberFormat="1" applyFont="1" applyFill="1" applyBorder="1" applyAlignment="1">
      <alignment horizontal="center" vertical="center"/>
    </xf>
    <xf numFmtId="3" fontId="19" fillId="5" borderId="18" xfId="2" applyNumberFormat="1" applyFont="1" applyFill="1" applyBorder="1" applyAlignment="1">
      <alignment horizontal="center" vertical="center"/>
    </xf>
    <xf numFmtId="3" fontId="21" fillId="5" borderId="20" xfId="2" applyNumberFormat="1" applyFont="1" applyFill="1" applyBorder="1" applyAlignment="1">
      <alignment horizontal="center" vertical="center"/>
    </xf>
    <xf numFmtId="3" fontId="21" fillId="5" borderId="18" xfId="2" applyNumberFormat="1" applyFont="1" applyFill="1" applyBorder="1" applyAlignment="1">
      <alignment horizontal="center" vertical="center"/>
    </xf>
    <xf numFmtId="3" fontId="19" fillId="0" borderId="17" xfId="2" applyNumberFormat="1" applyFont="1" applyBorder="1" applyAlignment="1">
      <alignment horizontal="center" vertical="center" wrapText="1"/>
    </xf>
    <xf numFmtId="3" fontId="19" fillId="0" borderId="18" xfId="2" applyNumberFormat="1" applyFont="1" applyBorder="1" applyAlignment="1">
      <alignment horizontal="center" vertical="center" wrapText="1"/>
    </xf>
    <xf numFmtId="3" fontId="19" fillId="5" borderId="16" xfId="2" applyNumberFormat="1" applyFont="1" applyFill="1" applyBorder="1" applyAlignment="1">
      <alignment horizontal="center" vertical="center" wrapText="1"/>
    </xf>
    <xf numFmtId="3" fontId="19" fillId="5" borderId="19" xfId="2" applyNumberFormat="1" applyFont="1" applyFill="1" applyBorder="1" applyAlignment="1">
      <alignment horizontal="center" vertical="center" wrapText="1"/>
    </xf>
    <xf numFmtId="3" fontId="19" fillId="0" borderId="20" xfId="2" applyNumberFormat="1" applyFont="1" applyBorder="1" applyAlignment="1">
      <alignment horizontal="center" vertical="center" wrapText="1"/>
    </xf>
    <xf numFmtId="3" fontId="19" fillId="0" borderId="16" xfId="2" applyNumberFormat="1" applyFont="1" applyBorder="1" applyAlignment="1">
      <alignment horizontal="center" vertical="center" wrapText="1"/>
    </xf>
    <xf numFmtId="3" fontId="19" fillId="0" borderId="19" xfId="2" applyNumberFormat="1" applyFont="1" applyBorder="1" applyAlignment="1">
      <alignment horizontal="center" vertical="center" wrapText="1"/>
    </xf>
    <xf numFmtId="3" fontId="19" fillId="0" borderId="28" xfId="2" applyNumberFormat="1" applyFont="1" applyBorder="1" applyAlignment="1">
      <alignment horizontal="center" vertical="center" wrapText="1"/>
    </xf>
    <xf numFmtId="3" fontId="19" fillId="0" borderId="22" xfId="2" applyNumberFormat="1" applyFont="1" applyBorder="1" applyAlignment="1">
      <alignment horizontal="center" vertical="center" wrapText="1"/>
    </xf>
    <xf numFmtId="3" fontId="19" fillId="0" borderId="23" xfId="2" applyNumberFormat="1" applyFont="1" applyBorder="1" applyAlignment="1">
      <alignment horizontal="center" vertical="center" wrapText="1"/>
    </xf>
    <xf numFmtId="3" fontId="19" fillId="5" borderId="21" xfId="2" applyNumberFormat="1" applyFont="1" applyFill="1" applyBorder="1" applyAlignment="1">
      <alignment horizontal="center" vertical="center" wrapText="1"/>
    </xf>
    <xf numFmtId="3" fontId="19" fillId="5" borderId="24" xfId="2" applyNumberFormat="1" applyFont="1" applyFill="1" applyBorder="1" applyAlignment="1">
      <alignment horizontal="center" vertical="center" wrapText="1"/>
    </xf>
    <xf numFmtId="3" fontId="19" fillId="0" borderId="25" xfId="2" applyNumberFormat="1" applyFont="1" applyBorder="1" applyAlignment="1">
      <alignment horizontal="center" vertical="center" wrapText="1"/>
    </xf>
    <xf numFmtId="3" fontId="19" fillId="0" borderId="21" xfId="2" applyNumberFormat="1" applyFont="1" applyBorder="1" applyAlignment="1">
      <alignment horizontal="center" vertical="center" wrapText="1"/>
    </xf>
    <xf numFmtId="3" fontId="19" fillId="0" borderId="24" xfId="2" applyNumberFormat="1" applyFont="1" applyBorder="1" applyAlignment="1">
      <alignment horizontal="center" vertical="center" wrapText="1"/>
    </xf>
    <xf numFmtId="3" fontId="19" fillId="0" borderId="29" xfId="2" applyNumberFormat="1" applyFont="1" applyBorder="1" applyAlignment="1">
      <alignment horizontal="center" vertical="center" wrapText="1"/>
    </xf>
    <xf numFmtId="170" fontId="18" fillId="0" borderId="0" xfId="6" applyNumberFormat="1" applyFont="1" applyFill="1" applyAlignment="1">
      <alignment vertical="center"/>
    </xf>
    <xf numFmtId="3" fontId="18" fillId="0" borderId="0" xfId="2" applyNumberFormat="1" applyFont="1" applyAlignment="1">
      <alignment vertical="center"/>
    </xf>
    <xf numFmtId="170" fontId="18" fillId="0" borderId="0" xfId="2" applyNumberFormat="1" applyFont="1" applyAlignment="1">
      <alignment vertical="center"/>
    </xf>
    <xf numFmtId="171" fontId="18" fillId="0" borderId="0" xfId="6" applyNumberFormat="1" applyFont="1" applyFill="1" applyAlignment="1">
      <alignment vertical="center"/>
    </xf>
    <xf numFmtId="170" fontId="18" fillId="0" borderId="0" xfId="7" applyNumberFormat="1" applyFont="1" applyFill="1" applyAlignment="1">
      <alignment vertical="center"/>
    </xf>
    <xf numFmtId="166" fontId="11" fillId="4" borderId="1" xfId="3" applyNumberFormat="1" applyFont="1" applyFill="1" applyBorder="1" applyAlignment="1">
      <alignment horizontal="center" vertical="center"/>
    </xf>
    <xf numFmtId="0" fontId="12" fillId="4" borderId="2" xfId="2" applyFont="1" applyFill="1" applyBorder="1" applyAlignment="1">
      <alignment horizontal="center" vertical="center" wrapText="1"/>
    </xf>
    <xf numFmtId="0" fontId="12" fillId="4" borderId="3" xfId="2" applyFont="1" applyFill="1" applyBorder="1" applyAlignment="1">
      <alignment horizontal="center" vertical="center" wrapText="1"/>
    </xf>
    <xf numFmtId="0" fontId="12" fillId="4" borderId="27" xfId="2" applyFont="1" applyFill="1" applyBorder="1" applyAlignment="1">
      <alignment horizontal="center" vertical="center" wrapText="1"/>
    </xf>
    <xf numFmtId="166" fontId="17" fillId="4" borderId="1" xfId="3" applyNumberFormat="1" applyFont="1" applyFill="1" applyBorder="1" applyAlignment="1">
      <alignment horizontal="center" vertical="center"/>
    </xf>
    <xf numFmtId="166" fontId="17" fillId="4" borderId="6" xfId="3" applyNumberFormat="1" applyFont="1" applyFill="1" applyBorder="1" applyAlignment="1">
      <alignment horizontal="center" vertical="center"/>
    </xf>
    <xf numFmtId="166" fontId="17" fillId="4" borderId="7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top" wrapText="1"/>
    </xf>
    <xf numFmtId="0" fontId="9" fillId="3" borderId="0" xfId="1" applyFont="1" applyFill="1" applyAlignment="1">
      <alignment horizontal="right" vertical="center" wrapText="1"/>
    </xf>
    <xf numFmtId="0" fontId="12" fillId="4" borderId="1" xfId="2" applyFont="1" applyFill="1" applyBorder="1" applyAlignment="1">
      <alignment horizontal="center" wrapText="1"/>
    </xf>
    <xf numFmtId="0" fontId="12" fillId="4" borderId="1" xfId="2" applyFont="1" applyFill="1" applyBorder="1" applyAlignment="1">
      <alignment horizontal="center" vertical="center" wrapText="1"/>
    </xf>
    <xf numFmtId="0" fontId="13" fillId="4" borderId="1" xfId="2" applyFont="1" applyFill="1" applyBorder="1" applyAlignment="1">
      <alignment horizontal="center" vertical="center"/>
    </xf>
    <xf numFmtId="4" fontId="15" fillId="4" borderId="4" xfId="2" applyNumberFormat="1" applyFont="1" applyFill="1" applyBorder="1" applyAlignment="1">
      <alignment horizontal="center" vertical="center" wrapText="1"/>
    </xf>
    <xf numFmtId="4" fontId="15" fillId="4" borderId="5" xfId="2" applyNumberFormat="1" applyFont="1" applyFill="1" applyBorder="1" applyAlignment="1">
      <alignment horizontal="center" vertical="center" wrapText="1"/>
    </xf>
    <xf numFmtId="4" fontId="15" fillId="4" borderId="9" xfId="2" applyNumberFormat="1" applyFont="1" applyFill="1" applyBorder="1" applyAlignment="1">
      <alignment horizontal="center" vertical="center" wrapText="1"/>
    </xf>
    <xf numFmtId="4" fontId="15" fillId="4" borderId="8" xfId="2" applyNumberFormat="1" applyFont="1" applyFill="1" applyBorder="1" applyAlignment="1">
      <alignment horizontal="center" vertical="center" wrapText="1"/>
    </xf>
    <xf numFmtId="4" fontId="15" fillId="4" borderId="2" xfId="2" applyNumberFormat="1" applyFont="1" applyFill="1" applyBorder="1" applyAlignment="1">
      <alignment horizontal="center" vertical="center" wrapText="1"/>
    </xf>
  </cellXfs>
  <cellStyles count="8">
    <cellStyle name="Comma" xfId="6" builtinId="3"/>
    <cellStyle name="Comma 2" xfId="3" xr:uid="{00000000-0005-0000-0000-000000000000}"/>
    <cellStyle name="Comma 8" xfId="4" xr:uid="{00000000-0005-0000-0000-000001000000}"/>
    <cellStyle name="Comma 8 2" xfId="5" xr:uid="{E3D73C0C-FB01-4091-B45D-F680F04B439B}"/>
    <cellStyle name="Normal" xfId="0" builtinId="0"/>
    <cellStyle name="Normal 2 2" xfId="2" xr:uid="{00000000-0005-0000-0000-000003000000}"/>
    <cellStyle name="Normal 2 3" xfId="1" xr:uid="{00000000-0005-0000-0000-000004000000}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C:\Users\FUAD_A~1\AppData\Local\Temp\notesBA9FE3\Users\KAMIL_~1\AppData\Local\Temp\notes57FF2C\DOCUME~1\FAbbasov\LOCALS~1\Temp\notesFCBCEE\Documents%20and%20Settings\FAbbasov\Desktop\new%20bulletin\kred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kredi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DOCUME~1\SAlizade\LOCALS~1\Temp\notes0F6B36\1113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C:\Users\FUAD_A~1\AppData\Local\Temp\notesBA9FE3\Users\KAMIL_~1\AppData\Local\Temp\notes57FF2C\DOCUME~1\FAbbasov\LOCALS~1\Temp\notesFCBCEE\Documents%20and%20Settings\FAbbasov\Desktop\new%20bulletin\emane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ar.az\dfs-r\Users\FUAD_A~1\AppData\Local\Temp\notesBA9FE3\Users\KAMIL_~1\AppData\Local\Temp\notes57FF2C\DOCUME~1\FAbbasov\LOCALS~1\Temp\notesFCBCEE\Documents%20and%20Settings\FAbbasov\Desktop\new%20bulletin\eman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t"/>
      <sheetName val="ST-2SD.ST"/>
    </sheetNames>
    <sheetDataSet>
      <sheetData sheetId="0" refreshError="1"/>
      <sheetData sheetId="1" refreshError="1">
        <row r="17">
          <cell r="A17">
            <v>2</v>
          </cell>
        </row>
        <row r="19">
          <cell r="A19">
            <v>4</v>
          </cell>
        </row>
        <row r="23">
          <cell r="A23">
            <v>8</v>
          </cell>
        </row>
        <row r="24">
          <cell r="A24">
            <v>9</v>
          </cell>
        </row>
        <row r="28">
          <cell r="A28">
            <v>13</v>
          </cell>
        </row>
        <row r="29">
          <cell r="A29">
            <v>14</v>
          </cell>
        </row>
        <row r="32">
          <cell r="A32">
            <v>17</v>
          </cell>
        </row>
        <row r="33">
          <cell r="A33">
            <v>18</v>
          </cell>
        </row>
        <row r="39">
          <cell r="A39">
            <v>24</v>
          </cell>
        </row>
        <row r="41">
          <cell r="A41">
            <v>26</v>
          </cell>
        </row>
        <row r="42">
          <cell r="A42">
            <v>27</v>
          </cell>
        </row>
        <row r="43">
          <cell r="A43">
            <v>28</v>
          </cell>
        </row>
        <row r="44">
          <cell r="A44">
            <v>29</v>
          </cell>
        </row>
        <row r="47">
          <cell r="A47">
            <v>32</v>
          </cell>
        </row>
        <row r="49">
          <cell r="A49">
            <v>34</v>
          </cell>
        </row>
        <row r="50">
          <cell r="A50">
            <v>35</v>
          </cell>
        </row>
        <row r="53">
          <cell r="A53">
            <v>38</v>
          </cell>
        </row>
        <row r="54">
          <cell r="A54">
            <v>39</v>
          </cell>
        </row>
        <row r="55">
          <cell r="A55">
            <v>40</v>
          </cell>
        </row>
        <row r="56">
          <cell r="A56">
            <v>41</v>
          </cell>
        </row>
        <row r="61">
          <cell r="A61">
            <v>46</v>
          </cell>
        </row>
        <row r="64">
          <cell r="A64">
            <v>49</v>
          </cell>
        </row>
        <row r="67">
          <cell r="A67">
            <v>52</v>
          </cell>
        </row>
        <row r="68">
          <cell r="A68">
            <v>53</v>
          </cell>
        </row>
        <row r="69">
          <cell r="A69">
            <v>54</v>
          </cell>
        </row>
        <row r="71">
          <cell r="A71">
            <v>56</v>
          </cell>
        </row>
        <row r="73">
          <cell r="A73">
            <v>58</v>
          </cell>
        </row>
        <row r="74">
          <cell r="A74">
            <v>59</v>
          </cell>
        </row>
        <row r="80">
          <cell r="A80">
            <v>65</v>
          </cell>
        </row>
        <row r="81">
          <cell r="A81">
            <v>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t"/>
      <sheetName val="ST-2SD.ST"/>
    </sheetNames>
    <sheetDataSet>
      <sheetData sheetId="0" refreshError="1"/>
      <sheetData sheetId="1" refreshError="1">
        <row r="17">
          <cell r="A17">
            <v>2</v>
          </cell>
        </row>
        <row r="19">
          <cell r="A19">
            <v>4</v>
          </cell>
        </row>
        <row r="23">
          <cell r="A23">
            <v>8</v>
          </cell>
        </row>
        <row r="24">
          <cell r="A24">
            <v>9</v>
          </cell>
        </row>
        <row r="28">
          <cell r="A28">
            <v>13</v>
          </cell>
        </row>
        <row r="29">
          <cell r="A29">
            <v>14</v>
          </cell>
        </row>
        <row r="32">
          <cell r="A32">
            <v>17</v>
          </cell>
        </row>
        <row r="33">
          <cell r="A33">
            <v>18</v>
          </cell>
        </row>
        <row r="39">
          <cell r="A39">
            <v>24</v>
          </cell>
        </row>
        <row r="41">
          <cell r="A41">
            <v>26</v>
          </cell>
        </row>
        <row r="42">
          <cell r="A42">
            <v>27</v>
          </cell>
        </row>
        <row r="43">
          <cell r="A43">
            <v>28</v>
          </cell>
        </row>
        <row r="44">
          <cell r="A44">
            <v>29</v>
          </cell>
        </row>
        <row r="47">
          <cell r="A47">
            <v>32</v>
          </cell>
        </row>
        <row r="49">
          <cell r="A49">
            <v>34</v>
          </cell>
        </row>
        <row r="50">
          <cell r="A50">
            <v>35</v>
          </cell>
        </row>
        <row r="53">
          <cell r="A53">
            <v>38</v>
          </cell>
        </row>
        <row r="54">
          <cell r="A54">
            <v>39</v>
          </cell>
        </row>
        <row r="55">
          <cell r="A55">
            <v>40</v>
          </cell>
        </row>
        <row r="56">
          <cell r="A56">
            <v>41</v>
          </cell>
        </row>
        <row r="61">
          <cell r="A61">
            <v>46</v>
          </cell>
        </row>
        <row r="64">
          <cell r="A64">
            <v>49</v>
          </cell>
        </row>
        <row r="67">
          <cell r="A67">
            <v>52</v>
          </cell>
        </row>
        <row r="68">
          <cell r="A68">
            <v>53</v>
          </cell>
        </row>
        <row r="69">
          <cell r="A69">
            <v>54</v>
          </cell>
        </row>
        <row r="71">
          <cell r="A71">
            <v>56</v>
          </cell>
        </row>
        <row r="73">
          <cell r="A73">
            <v>58</v>
          </cell>
        </row>
        <row r="74">
          <cell r="A74">
            <v>59</v>
          </cell>
        </row>
        <row r="80">
          <cell r="A80">
            <v>65</v>
          </cell>
        </row>
        <row r="81">
          <cell r="A81">
            <v>66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2"/>
      <sheetName val="1.4"/>
      <sheetName val="2.2"/>
      <sheetName val="2.10"/>
      <sheetName val="2.11"/>
      <sheetName val="3.1"/>
      <sheetName val="3.3"/>
      <sheetName val="3.5"/>
      <sheetName val="3.6"/>
      <sheetName val="3.6 (2)"/>
      <sheetName val="3.7"/>
      <sheetName val="4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2">
          <cell r="A2" t="str">
            <v>Cədvəl 3.6. Xarici valyuta bazarı</v>
          </cell>
        </row>
        <row r="15">
          <cell r="A15" t="str">
            <v>Xaric valyutanın alışı</v>
          </cell>
        </row>
        <row r="16">
          <cell r="A16" t="str">
            <v xml:space="preserve">          o cümlədən:</v>
          </cell>
        </row>
        <row r="17">
          <cell r="A17" t="str">
            <v>- BEST</v>
          </cell>
        </row>
        <row r="18">
          <cell r="A18" t="str">
            <v>- ABVB</v>
          </cell>
        </row>
        <row r="19">
          <cell r="A19" t="str">
            <v>- BDMƏ</v>
          </cell>
        </row>
        <row r="20">
          <cell r="A20" t="str">
            <v xml:space="preserve">        Məqsədlər üzrə:</v>
          </cell>
        </row>
        <row r="21">
          <cell r="A21" t="str">
            <v xml:space="preserve"> - Valyuta movqeyinin
    tənzimlənməsi</v>
          </cell>
        </row>
        <row r="22">
          <cell r="A22" t="str">
            <v xml:space="preserve"> - Kreditlərin ödənilməsi</v>
          </cell>
        </row>
        <row r="23">
          <cell r="A23" t="str">
            <v xml:space="preserve"> - Digər banklara depozitlərin
   qaytarılması</v>
          </cell>
        </row>
        <row r="24">
          <cell r="A24" t="str">
            <v xml:space="preserve"> - Mübadilə məntəqələri üçün</v>
          </cell>
        </row>
        <row r="25">
          <cell r="A25" t="str">
            <v xml:space="preserve"> - Müştərilərin tapşırığı ilə</v>
          </cell>
        </row>
        <row r="26">
          <cell r="A26" t="str">
            <v xml:space="preserve">          o cümlədən:</v>
          </cell>
        </row>
        <row r="27">
          <cell r="A27" t="str">
            <v xml:space="preserve">            - idxal kontrakları üçün</v>
          </cell>
        </row>
        <row r="32">
          <cell r="A32" t="str">
            <v>Xaric valyutanın satışı</v>
          </cell>
        </row>
        <row r="33">
          <cell r="A33" t="str">
            <v xml:space="preserve">          o cümlədən:</v>
          </cell>
        </row>
        <row r="34">
          <cell r="A34" t="str">
            <v>- BEST</v>
          </cell>
        </row>
        <row r="35">
          <cell r="A35" t="str">
            <v>- ABVB</v>
          </cell>
        </row>
        <row r="36">
          <cell r="A36" t="str">
            <v>- BDMƏ</v>
          </cell>
        </row>
        <row r="37">
          <cell r="A37" t="str">
            <v xml:space="preserve">        Məqsədlər üzrə:</v>
          </cell>
        </row>
        <row r="38">
          <cell r="A38" t="str">
            <v xml:space="preserve"> - Valyuta movqeyinin
    tənzimlənməsi</v>
          </cell>
        </row>
        <row r="39">
          <cell r="A39" t="str">
            <v xml:space="preserve"> - Kreditlərin ödənilməsi</v>
          </cell>
        </row>
        <row r="40">
          <cell r="A40" t="str">
            <v xml:space="preserve"> - Digər banklara depozitlərin
   qaytarılması</v>
          </cell>
        </row>
        <row r="41">
          <cell r="A41" t="str">
            <v xml:space="preserve"> - Mübadilə məntəqələri üçün</v>
          </cell>
        </row>
        <row r="42">
          <cell r="A42" t="str">
            <v xml:space="preserve"> - Müştərilərin tapşırığı ilə</v>
          </cell>
        </row>
        <row r="43">
          <cell r="A43" t="str">
            <v xml:space="preserve"> - Sair məqsədlər</v>
          </cell>
        </row>
      </sheetData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net"/>
      <sheetName val="ST-2SD.ST"/>
    </sheetNames>
    <sheetDataSet>
      <sheetData sheetId="0" refreshError="1"/>
      <sheetData sheetId="1">
        <row r="23">
          <cell r="A23">
            <v>8</v>
          </cell>
        </row>
        <row r="42">
          <cell r="A42">
            <v>27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net"/>
      <sheetName val="ST-2SD.ST"/>
    </sheetNames>
    <sheetDataSet>
      <sheetData sheetId="0" refreshError="1"/>
      <sheetData sheetId="1">
        <row r="23">
          <cell r="A23">
            <v>8</v>
          </cell>
        </row>
        <row r="42">
          <cell r="A42">
            <v>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8">
    <tabColor rgb="FF92D050"/>
  </sheetPr>
  <dimension ref="A2:KT133"/>
  <sheetViews>
    <sheetView showGridLines="0" tabSelected="1" view="pageBreakPreview" zoomScale="70" zoomScaleNormal="55" zoomScaleSheetLayoutView="70" workbookViewId="0">
      <pane xSplit="1" ySplit="10" topLeftCell="HR11" activePane="bottomRight" state="frozen"/>
      <selection pane="topRight" activeCell="B1" sqref="B1"/>
      <selection pane="bottomLeft" activeCell="A11" sqref="A11"/>
      <selection pane="bottomRight" activeCell="HX14" sqref="HX14"/>
    </sheetView>
  </sheetViews>
  <sheetFormatPr defaultColWidth="9.140625" defaultRowHeight="15.75" x14ac:dyDescent="0.25"/>
  <cols>
    <col min="1" max="1" width="90.140625" style="27" customWidth="1"/>
    <col min="2" max="2" width="19.7109375" style="32" hidden="1" customWidth="1"/>
    <col min="3" max="3" width="19.7109375" style="34" hidden="1" customWidth="1"/>
    <col min="4" max="4" width="19.7109375" style="32" hidden="1" customWidth="1"/>
    <col min="5" max="5" width="19.7109375" style="34" hidden="1" customWidth="1"/>
    <col min="6" max="6" width="19.7109375" style="32" hidden="1" customWidth="1"/>
    <col min="7" max="7" width="19.7109375" style="34" hidden="1" customWidth="1"/>
    <col min="8" max="8" width="19.7109375" style="32" hidden="1" customWidth="1"/>
    <col min="9" max="9" width="19.7109375" style="34" hidden="1" customWidth="1"/>
    <col min="10" max="10" width="19.7109375" style="32" hidden="1" customWidth="1"/>
    <col min="11" max="11" width="19.7109375" style="34" hidden="1" customWidth="1"/>
    <col min="12" max="12" width="19.7109375" style="32" hidden="1" customWidth="1"/>
    <col min="13" max="13" width="19.7109375" style="34" hidden="1" customWidth="1"/>
    <col min="14" max="14" width="19.7109375" style="32" hidden="1" customWidth="1"/>
    <col min="15" max="15" width="19.7109375" style="34" hidden="1" customWidth="1"/>
    <col min="16" max="16" width="19.7109375" style="32" hidden="1" customWidth="1"/>
    <col min="17" max="17" width="19.7109375" style="34" hidden="1" customWidth="1"/>
    <col min="18" max="18" width="20.7109375" style="32" hidden="1" customWidth="1"/>
    <col min="19" max="19" width="19.7109375" style="34" hidden="1" customWidth="1"/>
    <col min="20" max="20" width="19.7109375" style="32" hidden="1" customWidth="1"/>
    <col min="21" max="21" width="19.7109375" style="34" hidden="1" customWidth="1"/>
    <col min="22" max="22" width="19.7109375" style="32" hidden="1" customWidth="1"/>
    <col min="23" max="23" width="19.7109375" style="34" hidden="1" customWidth="1"/>
    <col min="24" max="24" width="19.7109375" style="32" hidden="1" customWidth="1"/>
    <col min="25" max="25" width="19.7109375" style="34" hidden="1" customWidth="1"/>
    <col min="26" max="26" width="19.7109375" style="32" hidden="1" customWidth="1"/>
    <col min="27" max="27" width="19.7109375" style="34" hidden="1" customWidth="1"/>
    <col min="28" max="28" width="18.140625" style="31" hidden="1" customWidth="1"/>
    <col min="29" max="29" width="19.28515625" style="2" hidden="1" customWidth="1"/>
    <col min="30" max="30" width="19.140625" style="2" hidden="1" customWidth="1"/>
    <col min="31" max="31" width="23.42578125" style="2" hidden="1" customWidth="1"/>
    <col min="32" max="41" width="20.28515625" style="2" hidden="1" customWidth="1"/>
    <col min="42" max="42" width="17.42578125" style="2" hidden="1" customWidth="1"/>
    <col min="43" max="48" width="20.28515625" style="2" hidden="1" customWidth="1"/>
    <col min="49" max="49" width="23.85546875" style="2" hidden="1" customWidth="1"/>
    <col min="50" max="55" width="20.140625" style="2" hidden="1" customWidth="1"/>
    <col min="56" max="56" width="20" style="2" hidden="1" customWidth="1"/>
    <col min="57" max="57" width="20.140625" style="2" hidden="1" customWidth="1"/>
    <col min="58" max="68" width="20" style="2" hidden="1" customWidth="1"/>
    <col min="69" max="69" width="23.85546875" style="2" hidden="1" customWidth="1"/>
    <col min="70" max="75" width="20.140625" style="2" hidden="1" customWidth="1"/>
    <col min="76" max="85" width="20.28515625" style="2" hidden="1" customWidth="1"/>
    <col min="86" max="87" width="20.28515625" style="29" hidden="1" customWidth="1"/>
    <col min="88" max="108" width="20.42578125" style="2" hidden="1" customWidth="1"/>
    <col min="109" max="115" width="21.140625" style="2" hidden="1" customWidth="1"/>
    <col min="116" max="116" width="17.7109375" style="2" hidden="1" customWidth="1"/>
    <col min="117" max="117" width="23.85546875" style="2" hidden="1" customWidth="1"/>
    <col min="118" max="118" width="17.7109375" style="2" hidden="1" customWidth="1"/>
    <col min="119" max="119" width="24" style="2" hidden="1" customWidth="1"/>
    <col min="120" max="120" width="17.7109375" style="2" hidden="1" customWidth="1"/>
    <col min="121" max="121" width="24" style="2" hidden="1" customWidth="1"/>
    <col min="122" max="149" width="18.7109375" style="2" hidden="1" customWidth="1"/>
    <col min="150" max="197" width="21.42578125" style="2" hidden="1" customWidth="1"/>
    <col min="198" max="199" width="21.42578125" style="2" customWidth="1"/>
    <col min="200" max="203" width="21.42578125" style="2" hidden="1" customWidth="1"/>
    <col min="204" max="205" width="21.42578125" style="2" customWidth="1"/>
    <col min="206" max="209" width="21.42578125" style="2" hidden="1" customWidth="1"/>
    <col min="210" max="211" width="21.42578125" style="2" customWidth="1"/>
    <col min="212" max="215" width="21.42578125" style="2" hidden="1" customWidth="1"/>
    <col min="216" max="235" width="21.42578125" style="2" customWidth="1"/>
    <col min="236" max="236" width="65.5703125" style="2" customWidth="1"/>
    <col min="237" max="237" width="9.140625" style="2"/>
    <col min="238" max="238" width="16" style="2" bestFit="1" customWidth="1"/>
    <col min="239" max="239" width="9.42578125" style="2" bestFit="1" customWidth="1"/>
    <col min="240" max="240" width="9.7109375" style="2" bestFit="1" customWidth="1"/>
    <col min="241" max="16384" width="9.140625" style="2"/>
  </cols>
  <sheetData>
    <row r="2" spans="1:306" ht="41.25" customHeight="1" x14ac:dyDescent="0.25">
      <c r="A2" s="92" t="s">
        <v>132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2"/>
      <c r="EB2" s="92"/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/>
      <c r="EZ2" s="92"/>
      <c r="FA2" s="92"/>
      <c r="FB2" s="92"/>
      <c r="FC2" s="92"/>
      <c r="FD2" s="92"/>
      <c r="FE2" s="92"/>
      <c r="FF2" s="92"/>
      <c r="FG2" s="92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  <c r="GB2" s="92"/>
      <c r="GC2" s="92"/>
      <c r="GD2" s="92"/>
      <c r="GE2" s="92"/>
      <c r="GF2" s="92"/>
      <c r="GG2" s="92"/>
      <c r="GH2" s="92"/>
      <c r="GI2" s="92"/>
      <c r="GJ2" s="92"/>
      <c r="GK2" s="92"/>
      <c r="GL2" s="92"/>
      <c r="GM2" s="92"/>
      <c r="GN2" s="92"/>
      <c r="GO2" s="92"/>
      <c r="GP2" s="92"/>
      <c r="GQ2" s="92"/>
      <c r="GR2" s="92"/>
      <c r="GS2" s="92"/>
      <c r="GT2" s="92"/>
      <c r="GU2" s="92"/>
      <c r="GV2" s="92"/>
      <c r="GW2" s="92"/>
      <c r="GX2" s="92"/>
      <c r="GY2" s="92"/>
      <c r="GZ2" s="92"/>
      <c r="HA2" s="92"/>
      <c r="HB2" s="92"/>
      <c r="HC2" s="92"/>
      <c r="HD2" s="92"/>
      <c r="HE2" s="92"/>
      <c r="HF2" s="92"/>
      <c r="HG2" s="92"/>
      <c r="HH2" s="92"/>
      <c r="HI2" s="92"/>
      <c r="HJ2" s="92"/>
      <c r="HK2" s="92"/>
      <c r="HL2" s="92"/>
      <c r="HM2" s="92"/>
      <c r="HN2" s="92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</row>
    <row r="3" spans="1:306" ht="47.25" customHeight="1" x14ac:dyDescent="0.25">
      <c r="A3" s="93" t="s">
        <v>133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93"/>
      <c r="EM3" s="93"/>
      <c r="EN3" s="93"/>
      <c r="EO3" s="93"/>
      <c r="EP3" s="93"/>
      <c r="EQ3" s="93"/>
      <c r="ER3" s="93"/>
      <c r="ES3" s="93"/>
      <c r="ET3" s="93"/>
      <c r="EU3" s="93"/>
      <c r="EV3" s="93"/>
      <c r="EW3" s="93"/>
      <c r="EX3" s="93"/>
      <c r="EY3" s="93"/>
      <c r="EZ3" s="93"/>
      <c r="FA3" s="93"/>
      <c r="FB3" s="93"/>
      <c r="FC3" s="93"/>
      <c r="FD3" s="93"/>
      <c r="FE3" s="93"/>
      <c r="FF3" s="93"/>
      <c r="FG3" s="93"/>
      <c r="FH3" s="93"/>
      <c r="FI3" s="93"/>
      <c r="FJ3" s="93"/>
      <c r="FK3" s="93"/>
      <c r="FL3" s="93"/>
      <c r="FM3" s="93"/>
      <c r="FN3" s="93"/>
      <c r="FO3" s="93"/>
      <c r="FP3" s="93"/>
      <c r="FQ3" s="93"/>
      <c r="FR3" s="93"/>
      <c r="FS3" s="93"/>
      <c r="FT3" s="93"/>
      <c r="FU3" s="93"/>
      <c r="FV3" s="93"/>
      <c r="FW3" s="93"/>
      <c r="FX3" s="93"/>
      <c r="FY3" s="93"/>
      <c r="FZ3" s="93"/>
      <c r="GA3" s="93"/>
      <c r="GB3" s="93"/>
      <c r="GC3" s="93"/>
      <c r="GD3" s="93"/>
      <c r="GE3" s="93"/>
      <c r="GF3" s="93"/>
      <c r="GG3" s="93"/>
      <c r="GH3" s="93"/>
      <c r="GI3" s="93"/>
      <c r="GJ3" s="93"/>
      <c r="GK3" s="93"/>
      <c r="GL3" s="93"/>
      <c r="GM3" s="93"/>
      <c r="GN3" s="93"/>
      <c r="GO3" s="93"/>
      <c r="GP3" s="93"/>
      <c r="GQ3" s="93"/>
      <c r="GR3" s="93"/>
      <c r="GS3" s="93"/>
      <c r="GT3" s="93"/>
      <c r="GU3" s="93"/>
      <c r="GV3" s="93"/>
      <c r="GW3" s="93"/>
      <c r="GX3" s="93"/>
      <c r="GY3" s="93"/>
      <c r="GZ3" s="93"/>
      <c r="HA3" s="93"/>
      <c r="HB3" s="93"/>
      <c r="HC3" s="93"/>
      <c r="HD3" s="93"/>
      <c r="HE3" s="93"/>
      <c r="HF3" s="93"/>
      <c r="HG3" s="93"/>
      <c r="HH3" s="93"/>
      <c r="HI3" s="93"/>
      <c r="HJ3" s="93"/>
      <c r="HK3" s="93"/>
      <c r="HL3" s="93"/>
      <c r="HM3" s="93"/>
      <c r="HN3" s="93"/>
      <c r="HO3" s="93"/>
      <c r="HP3" s="93"/>
      <c r="HQ3" s="93"/>
      <c r="HR3" s="93"/>
      <c r="HS3" s="93"/>
      <c r="HT3" s="93"/>
      <c r="HU3" s="93"/>
      <c r="HV3" s="93"/>
      <c r="HW3" s="93"/>
      <c r="HX3" s="93"/>
      <c r="HY3" s="93"/>
      <c r="HZ3" s="93"/>
      <c r="IA3" s="93"/>
      <c r="IB3" s="93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</row>
    <row r="4" spans="1:306" ht="22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</row>
    <row r="5" spans="1:306" s="6" customFormat="1" ht="22.5" customHeight="1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94" t="s">
        <v>0</v>
      </c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  <c r="HH5" s="94"/>
      <c r="HI5" s="94"/>
      <c r="HJ5" s="94"/>
      <c r="HK5" s="94"/>
      <c r="HL5" s="94"/>
      <c r="HM5" s="94"/>
      <c r="HN5" s="94"/>
      <c r="HO5" s="94"/>
      <c r="HP5" s="94"/>
      <c r="HQ5" s="94"/>
      <c r="HR5" s="94"/>
      <c r="HS5" s="94"/>
      <c r="HT5" s="94"/>
      <c r="HU5" s="94"/>
      <c r="HV5" s="94"/>
      <c r="HW5" s="94"/>
      <c r="HX5" s="94"/>
      <c r="HY5" s="94"/>
      <c r="HZ5" s="94"/>
      <c r="IA5" s="94"/>
      <c r="IB5" s="94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</row>
    <row r="6" spans="1:306" s="8" customFormat="1" ht="27" customHeight="1" x14ac:dyDescent="0.4">
      <c r="A6" s="7"/>
      <c r="B6" s="95">
        <v>2017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6">
        <v>2018</v>
      </c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7">
        <v>2019</v>
      </c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6">
        <v>2020</v>
      </c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7">
        <v>2021</v>
      </c>
      <c r="CU6" s="97"/>
      <c r="CV6" s="97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86">
        <v>2022</v>
      </c>
      <c r="DS6" s="87"/>
      <c r="DT6" s="87"/>
      <c r="DU6" s="87"/>
      <c r="DV6" s="87"/>
      <c r="DW6" s="87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  <c r="EJ6" s="87"/>
      <c r="EK6" s="87"/>
      <c r="EL6" s="87"/>
      <c r="EM6" s="87"/>
      <c r="EN6" s="87"/>
      <c r="EO6" s="88"/>
      <c r="EP6" s="86">
        <v>2023</v>
      </c>
      <c r="EQ6" s="87"/>
      <c r="ER6" s="87"/>
      <c r="ES6" s="87"/>
      <c r="ET6" s="87"/>
      <c r="EU6" s="87"/>
      <c r="EV6" s="87"/>
      <c r="EW6" s="87"/>
      <c r="EX6" s="87"/>
      <c r="EY6" s="87"/>
      <c r="EZ6" s="87"/>
      <c r="FA6" s="87"/>
      <c r="FB6" s="87"/>
      <c r="FC6" s="87"/>
      <c r="FD6" s="87"/>
      <c r="FE6" s="87"/>
      <c r="FF6" s="87"/>
      <c r="FG6" s="87"/>
      <c r="FH6" s="87"/>
      <c r="FI6" s="87"/>
      <c r="FJ6" s="87"/>
      <c r="FK6" s="87"/>
      <c r="FL6" s="87"/>
      <c r="FM6" s="88"/>
      <c r="FN6" s="86">
        <v>2024</v>
      </c>
      <c r="FO6" s="87"/>
      <c r="FP6" s="87"/>
      <c r="FQ6" s="87"/>
      <c r="FR6" s="87"/>
      <c r="FS6" s="87"/>
      <c r="FT6" s="87"/>
      <c r="FU6" s="87"/>
      <c r="FV6" s="87"/>
      <c r="FW6" s="87"/>
      <c r="FX6" s="87"/>
      <c r="FY6" s="87"/>
      <c r="FZ6" s="87"/>
      <c r="GA6" s="87"/>
      <c r="GB6" s="87"/>
      <c r="GC6" s="87"/>
      <c r="GD6" s="87"/>
      <c r="GE6" s="87"/>
      <c r="GF6" s="87"/>
      <c r="GG6" s="87"/>
      <c r="GH6" s="87"/>
      <c r="GI6" s="87"/>
      <c r="GJ6" s="87"/>
      <c r="GK6" s="88"/>
      <c r="GL6" s="86">
        <v>2025</v>
      </c>
      <c r="GM6" s="87"/>
      <c r="GN6" s="87"/>
      <c r="GO6" s="87"/>
      <c r="GP6" s="87"/>
      <c r="GQ6" s="87"/>
      <c r="GR6" s="87"/>
      <c r="GS6" s="87"/>
      <c r="GT6" s="87"/>
      <c r="GU6" s="87"/>
      <c r="GV6" s="87"/>
      <c r="GW6" s="87"/>
      <c r="GX6" s="87"/>
      <c r="GY6" s="87"/>
      <c r="GZ6" s="87"/>
      <c r="HA6" s="87"/>
      <c r="HB6" s="87"/>
      <c r="HC6" s="87"/>
      <c r="HD6" s="87"/>
      <c r="HE6" s="87"/>
      <c r="HF6" s="87"/>
      <c r="HG6" s="87"/>
      <c r="HH6" s="87"/>
      <c r="HI6" s="88"/>
      <c r="HJ6" s="86">
        <v>2026</v>
      </c>
      <c r="HK6" s="87"/>
      <c r="HL6" s="87"/>
      <c r="HM6" s="87"/>
      <c r="HN6" s="87"/>
      <c r="HO6" s="87"/>
      <c r="HP6" s="87"/>
      <c r="HQ6" s="87"/>
      <c r="HR6" s="87"/>
      <c r="HS6" s="87"/>
      <c r="HT6" s="87"/>
      <c r="HU6" s="87"/>
      <c r="HV6" s="87"/>
      <c r="HW6" s="87"/>
      <c r="HX6" s="87"/>
      <c r="HY6" s="87"/>
      <c r="HZ6" s="87"/>
      <c r="IA6" s="88"/>
      <c r="IB6" s="101" t="s">
        <v>14</v>
      </c>
    </row>
    <row r="7" spans="1:306" s="9" customFormat="1" ht="21" customHeight="1" x14ac:dyDescent="0.25">
      <c r="A7" s="98" t="s">
        <v>1</v>
      </c>
      <c r="B7" s="89" t="s">
        <v>2</v>
      </c>
      <c r="C7" s="89"/>
      <c r="D7" s="89" t="s">
        <v>3</v>
      </c>
      <c r="E7" s="89"/>
      <c r="F7" s="89" t="s">
        <v>4</v>
      </c>
      <c r="G7" s="89"/>
      <c r="H7" s="89" t="s">
        <v>5</v>
      </c>
      <c r="I7" s="89"/>
      <c r="J7" s="89" t="s">
        <v>6</v>
      </c>
      <c r="K7" s="89"/>
      <c r="L7" s="89" t="s">
        <v>7</v>
      </c>
      <c r="M7" s="89"/>
      <c r="N7" s="89" t="s">
        <v>8</v>
      </c>
      <c r="O7" s="89"/>
      <c r="P7" s="89" t="s">
        <v>9</v>
      </c>
      <c r="Q7" s="89"/>
      <c r="R7" s="89" t="s">
        <v>10</v>
      </c>
      <c r="S7" s="89"/>
      <c r="T7" s="89" t="s">
        <v>11</v>
      </c>
      <c r="U7" s="89"/>
      <c r="V7" s="89" t="s">
        <v>12</v>
      </c>
      <c r="W7" s="89"/>
      <c r="X7" s="89" t="s">
        <v>13</v>
      </c>
      <c r="Y7" s="89"/>
      <c r="Z7" s="89" t="s">
        <v>2</v>
      </c>
      <c r="AA7" s="89"/>
      <c r="AB7" s="89" t="s">
        <v>3</v>
      </c>
      <c r="AC7" s="89"/>
      <c r="AD7" s="89" t="s">
        <v>4</v>
      </c>
      <c r="AE7" s="89"/>
      <c r="AF7" s="89" t="s">
        <v>5</v>
      </c>
      <c r="AG7" s="89"/>
      <c r="AH7" s="89" t="s">
        <v>6</v>
      </c>
      <c r="AI7" s="89"/>
      <c r="AJ7" s="89" t="s">
        <v>7</v>
      </c>
      <c r="AK7" s="89"/>
      <c r="AL7" s="89" t="s">
        <v>8</v>
      </c>
      <c r="AM7" s="89"/>
      <c r="AN7" s="89" t="s">
        <v>9</v>
      </c>
      <c r="AO7" s="89"/>
      <c r="AP7" s="89" t="s">
        <v>10</v>
      </c>
      <c r="AQ7" s="89"/>
      <c r="AR7" s="89" t="s">
        <v>11</v>
      </c>
      <c r="AS7" s="89"/>
      <c r="AT7" s="89" t="s">
        <v>12</v>
      </c>
      <c r="AU7" s="89"/>
      <c r="AV7" s="89" t="s">
        <v>13</v>
      </c>
      <c r="AW7" s="89"/>
      <c r="AX7" s="89" t="s">
        <v>2</v>
      </c>
      <c r="AY7" s="89"/>
      <c r="AZ7" s="89" t="s">
        <v>3</v>
      </c>
      <c r="BA7" s="89"/>
      <c r="BB7" s="89" t="s">
        <v>4</v>
      </c>
      <c r="BC7" s="89"/>
      <c r="BD7" s="89" t="s">
        <v>5</v>
      </c>
      <c r="BE7" s="89"/>
      <c r="BF7" s="89" t="s">
        <v>6</v>
      </c>
      <c r="BG7" s="89"/>
      <c r="BH7" s="89" t="s">
        <v>7</v>
      </c>
      <c r="BI7" s="89"/>
      <c r="BJ7" s="89" t="s">
        <v>8</v>
      </c>
      <c r="BK7" s="89"/>
      <c r="BL7" s="89" t="s">
        <v>9</v>
      </c>
      <c r="BM7" s="89"/>
      <c r="BN7" s="89" t="s">
        <v>10</v>
      </c>
      <c r="BO7" s="89"/>
      <c r="BP7" s="89" t="s">
        <v>11</v>
      </c>
      <c r="BQ7" s="89"/>
      <c r="BR7" s="89" t="s">
        <v>12</v>
      </c>
      <c r="BS7" s="89"/>
      <c r="BT7" s="89" t="s">
        <v>13</v>
      </c>
      <c r="BU7" s="89"/>
      <c r="BV7" s="89" t="s">
        <v>2</v>
      </c>
      <c r="BW7" s="89"/>
      <c r="BX7" s="89" t="s">
        <v>3</v>
      </c>
      <c r="BY7" s="89"/>
      <c r="BZ7" s="89" t="s">
        <v>4</v>
      </c>
      <c r="CA7" s="89"/>
      <c r="CB7" s="89" t="s">
        <v>5</v>
      </c>
      <c r="CC7" s="89"/>
      <c r="CD7" s="89" t="s">
        <v>6</v>
      </c>
      <c r="CE7" s="89"/>
      <c r="CF7" s="89" t="s">
        <v>7</v>
      </c>
      <c r="CG7" s="89"/>
      <c r="CH7" s="89" t="s">
        <v>8</v>
      </c>
      <c r="CI7" s="89"/>
      <c r="CJ7" s="89" t="s">
        <v>9</v>
      </c>
      <c r="CK7" s="89"/>
      <c r="CL7" s="89" t="s">
        <v>10</v>
      </c>
      <c r="CM7" s="89"/>
      <c r="CN7" s="89" t="s">
        <v>11</v>
      </c>
      <c r="CO7" s="89"/>
      <c r="CP7" s="89" t="s">
        <v>12</v>
      </c>
      <c r="CQ7" s="89"/>
      <c r="CR7" s="89" t="s">
        <v>13</v>
      </c>
      <c r="CS7" s="89"/>
      <c r="CT7" s="89" t="s">
        <v>2</v>
      </c>
      <c r="CU7" s="89"/>
      <c r="CV7" s="89" t="s">
        <v>3</v>
      </c>
      <c r="CW7" s="89"/>
      <c r="CX7" s="89" t="s">
        <v>4</v>
      </c>
      <c r="CY7" s="89"/>
      <c r="CZ7" s="89" t="s">
        <v>5</v>
      </c>
      <c r="DA7" s="89"/>
      <c r="DB7" s="89" t="s">
        <v>6</v>
      </c>
      <c r="DC7" s="89"/>
      <c r="DD7" s="89" t="s">
        <v>7</v>
      </c>
      <c r="DE7" s="89"/>
      <c r="DF7" s="89" t="s">
        <v>8</v>
      </c>
      <c r="DG7" s="89"/>
      <c r="DH7" s="89" t="s">
        <v>9</v>
      </c>
      <c r="DI7" s="89"/>
      <c r="DJ7" s="89" t="s">
        <v>10</v>
      </c>
      <c r="DK7" s="89"/>
      <c r="DL7" s="89" t="s">
        <v>11</v>
      </c>
      <c r="DM7" s="89"/>
      <c r="DN7" s="89" t="s">
        <v>12</v>
      </c>
      <c r="DO7" s="89"/>
      <c r="DP7" s="89" t="s">
        <v>13</v>
      </c>
      <c r="DQ7" s="89"/>
      <c r="DR7" s="85" t="s">
        <v>2</v>
      </c>
      <c r="DS7" s="85"/>
      <c r="DT7" s="85" t="s">
        <v>3</v>
      </c>
      <c r="DU7" s="85"/>
      <c r="DV7" s="85" t="s">
        <v>4</v>
      </c>
      <c r="DW7" s="85"/>
      <c r="DX7" s="85" t="s">
        <v>5</v>
      </c>
      <c r="DY7" s="85"/>
      <c r="DZ7" s="85" t="s">
        <v>6</v>
      </c>
      <c r="EA7" s="85"/>
      <c r="EB7" s="85" t="s">
        <v>7</v>
      </c>
      <c r="EC7" s="85"/>
      <c r="ED7" s="85" t="s">
        <v>8</v>
      </c>
      <c r="EE7" s="85"/>
      <c r="EF7" s="85" t="s">
        <v>9</v>
      </c>
      <c r="EG7" s="85"/>
      <c r="EH7" s="85" t="s">
        <v>10</v>
      </c>
      <c r="EI7" s="85"/>
      <c r="EJ7" s="85" t="s">
        <v>11</v>
      </c>
      <c r="EK7" s="85"/>
      <c r="EL7" s="85" t="s">
        <v>12</v>
      </c>
      <c r="EM7" s="85"/>
      <c r="EN7" s="85" t="s">
        <v>13</v>
      </c>
      <c r="EO7" s="85"/>
      <c r="EP7" s="85" t="s">
        <v>2</v>
      </c>
      <c r="EQ7" s="85"/>
      <c r="ER7" s="85" t="s">
        <v>3</v>
      </c>
      <c r="ES7" s="85"/>
      <c r="ET7" s="85" t="s">
        <v>4</v>
      </c>
      <c r="EU7" s="85"/>
      <c r="EV7" s="85" t="s">
        <v>5</v>
      </c>
      <c r="EW7" s="85"/>
      <c r="EX7" s="85" t="s">
        <v>6</v>
      </c>
      <c r="EY7" s="85"/>
      <c r="EZ7" s="85" t="s">
        <v>7</v>
      </c>
      <c r="FA7" s="85"/>
      <c r="FB7" s="85" t="s">
        <v>131</v>
      </c>
      <c r="FC7" s="85"/>
      <c r="FD7" s="85" t="s">
        <v>9</v>
      </c>
      <c r="FE7" s="85"/>
      <c r="FF7" s="85" t="s">
        <v>10</v>
      </c>
      <c r="FG7" s="85"/>
      <c r="FH7" s="85" t="s">
        <v>11</v>
      </c>
      <c r="FI7" s="85"/>
      <c r="FJ7" s="85" t="s">
        <v>12</v>
      </c>
      <c r="FK7" s="85"/>
      <c r="FL7" s="85" t="s">
        <v>13</v>
      </c>
      <c r="FM7" s="85"/>
      <c r="FN7" s="85" t="s">
        <v>2</v>
      </c>
      <c r="FO7" s="85"/>
      <c r="FP7" s="85" t="s">
        <v>3</v>
      </c>
      <c r="FQ7" s="85"/>
      <c r="FR7" s="85" t="s">
        <v>4</v>
      </c>
      <c r="FS7" s="85"/>
      <c r="FT7" s="85" t="s">
        <v>5</v>
      </c>
      <c r="FU7" s="85"/>
      <c r="FV7" s="85" t="s">
        <v>6</v>
      </c>
      <c r="FW7" s="85"/>
      <c r="FX7" s="85" t="s">
        <v>7</v>
      </c>
      <c r="FY7" s="85"/>
      <c r="FZ7" s="85" t="s">
        <v>131</v>
      </c>
      <c r="GA7" s="85"/>
      <c r="GB7" s="85" t="s">
        <v>9</v>
      </c>
      <c r="GC7" s="85"/>
      <c r="GD7" s="85" t="s">
        <v>10</v>
      </c>
      <c r="GE7" s="85"/>
      <c r="GF7" s="85" t="s">
        <v>11</v>
      </c>
      <c r="GG7" s="85"/>
      <c r="GH7" s="85" t="s">
        <v>12</v>
      </c>
      <c r="GI7" s="85"/>
      <c r="GJ7" s="85" t="s">
        <v>13</v>
      </c>
      <c r="GK7" s="85"/>
      <c r="GL7" s="85" t="s">
        <v>2</v>
      </c>
      <c r="GM7" s="85"/>
      <c r="GN7" s="85" t="s">
        <v>3</v>
      </c>
      <c r="GO7" s="85"/>
      <c r="GP7" s="85" t="s">
        <v>4</v>
      </c>
      <c r="GQ7" s="85"/>
      <c r="GR7" s="85" t="s">
        <v>5</v>
      </c>
      <c r="GS7" s="85"/>
      <c r="GT7" s="85" t="s">
        <v>6</v>
      </c>
      <c r="GU7" s="85"/>
      <c r="GV7" s="85" t="s">
        <v>7</v>
      </c>
      <c r="GW7" s="85"/>
      <c r="GX7" s="85" t="s">
        <v>131</v>
      </c>
      <c r="GY7" s="85"/>
      <c r="GZ7" s="85" t="s">
        <v>9</v>
      </c>
      <c r="HA7" s="85"/>
      <c r="HB7" s="85" t="s">
        <v>10</v>
      </c>
      <c r="HC7" s="85"/>
      <c r="HD7" s="85" t="s">
        <v>11</v>
      </c>
      <c r="HE7" s="85"/>
      <c r="HF7" s="85" t="s">
        <v>12</v>
      </c>
      <c r="HG7" s="85"/>
      <c r="HH7" s="85" t="s">
        <v>13</v>
      </c>
      <c r="HI7" s="85"/>
      <c r="HJ7" s="85" t="s">
        <v>2</v>
      </c>
      <c r="HK7" s="85"/>
      <c r="HL7" s="85" t="s">
        <v>3</v>
      </c>
      <c r="HM7" s="85"/>
      <c r="HN7" s="85" t="s">
        <v>4</v>
      </c>
      <c r="HO7" s="85"/>
      <c r="HP7" s="85" t="s">
        <v>5</v>
      </c>
      <c r="HQ7" s="85"/>
      <c r="HR7" s="85" t="s">
        <v>6</v>
      </c>
      <c r="HS7" s="85"/>
      <c r="HT7" s="85" t="s">
        <v>7</v>
      </c>
      <c r="HU7" s="85"/>
      <c r="HV7" s="85" t="s">
        <v>131</v>
      </c>
      <c r="HW7" s="85"/>
      <c r="HX7" s="85" t="s">
        <v>9</v>
      </c>
      <c r="HY7" s="85"/>
      <c r="HZ7" s="85" t="s">
        <v>10</v>
      </c>
      <c r="IA7" s="85"/>
      <c r="IB7" s="101"/>
    </row>
    <row r="8" spans="1:306" s="9" customFormat="1" ht="21" customHeight="1" x14ac:dyDescent="0.25">
      <c r="A8" s="99"/>
      <c r="B8" s="90" t="s">
        <v>15</v>
      </c>
      <c r="C8" s="91"/>
      <c r="D8" s="90" t="s">
        <v>16</v>
      </c>
      <c r="E8" s="91"/>
      <c r="F8" s="90" t="s">
        <v>17</v>
      </c>
      <c r="G8" s="91"/>
      <c r="H8" s="90" t="s">
        <v>18</v>
      </c>
      <c r="I8" s="91"/>
      <c r="J8" s="90" t="s">
        <v>19</v>
      </c>
      <c r="K8" s="91"/>
      <c r="L8" s="90" t="s">
        <v>20</v>
      </c>
      <c r="M8" s="91"/>
      <c r="N8" s="90" t="s">
        <v>21</v>
      </c>
      <c r="O8" s="91"/>
      <c r="P8" s="90" t="s">
        <v>22</v>
      </c>
      <c r="Q8" s="91"/>
      <c r="R8" s="90" t="s">
        <v>23</v>
      </c>
      <c r="S8" s="91"/>
      <c r="T8" s="90" t="s">
        <v>24</v>
      </c>
      <c r="U8" s="91"/>
      <c r="V8" s="90" t="s">
        <v>25</v>
      </c>
      <c r="W8" s="91"/>
      <c r="X8" s="90" t="s">
        <v>26</v>
      </c>
      <c r="Y8" s="91"/>
      <c r="Z8" s="89" t="s">
        <v>15</v>
      </c>
      <c r="AA8" s="89"/>
      <c r="AB8" s="89" t="s">
        <v>16</v>
      </c>
      <c r="AC8" s="89"/>
      <c r="AD8" s="89" t="s">
        <v>17</v>
      </c>
      <c r="AE8" s="89"/>
      <c r="AF8" s="89" t="s">
        <v>18</v>
      </c>
      <c r="AG8" s="89"/>
      <c r="AH8" s="89" t="s">
        <v>19</v>
      </c>
      <c r="AI8" s="89"/>
      <c r="AJ8" s="89" t="s">
        <v>20</v>
      </c>
      <c r="AK8" s="89"/>
      <c r="AL8" s="89" t="s">
        <v>21</v>
      </c>
      <c r="AM8" s="89"/>
      <c r="AN8" s="89" t="s">
        <v>22</v>
      </c>
      <c r="AO8" s="89"/>
      <c r="AP8" s="89" t="s">
        <v>23</v>
      </c>
      <c r="AQ8" s="89"/>
      <c r="AR8" s="89" t="s">
        <v>24</v>
      </c>
      <c r="AS8" s="89"/>
      <c r="AT8" s="89" t="s">
        <v>25</v>
      </c>
      <c r="AU8" s="89"/>
      <c r="AV8" s="89" t="s">
        <v>26</v>
      </c>
      <c r="AW8" s="89"/>
      <c r="AX8" s="89" t="s">
        <v>15</v>
      </c>
      <c r="AY8" s="89"/>
      <c r="AZ8" s="89" t="s">
        <v>16</v>
      </c>
      <c r="BA8" s="89"/>
      <c r="BB8" s="89" t="s">
        <v>17</v>
      </c>
      <c r="BC8" s="89"/>
      <c r="BD8" s="89" t="s">
        <v>18</v>
      </c>
      <c r="BE8" s="89"/>
      <c r="BF8" s="89" t="s">
        <v>19</v>
      </c>
      <c r="BG8" s="89"/>
      <c r="BH8" s="89" t="s">
        <v>20</v>
      </c>
      <c r="BI8" s="89"/>
      <c r="BJ8" s="89" t="s">
        <v>21</v>
      </c>
      <c r="BK8" s="89"/>
      <c r="BL8" s="89" t="s">
        <v>22</v>
      </c>
      <c r="BM8" s="89"/>
      <c r="BN8" s="89" t="s">
        <v>23</v>
      </c>
      <c r="BO8" s="89"/>
      <c r="BP8" s="89" t="s">
        <v>24</v>
      </c>
      <c r="BQ8" s="89"/>
      <c r="BR8" s="89" t="s">
        <v>25</v>
      </c>
      <c r="BS8" s="89"/>
      <c r="BT8" s="89" t="s">
        <v>26</v>
      </c>
      <c r="BU8" s="89"/>
      <c r="BV8" s="89" t="s">
        <v>15</v>
      </c>
      <c r="BW8" s="89"/>
      <c r="BX8" s="89" t="s">
        <v>16</v>
      </c>
      <c r="BY8" s="89"/>
      <c r="BZ8" s="89" t="s">
        <v>17</v>
      </c>
      <c r="CA8" s="89"/>
      <c r="CB8" s="89" t="s">
        <v>18</v>
      </c>
      <c r="CC8" s="89"/>
      <c r="CD8" s="89" t="s">
        <v>19</v>
      </c>
      <c r="CE8" s="89"/>
      <c r="CF8" s="89" t="s">
        <v>20</v>
      </c>
      <c r="CG8" s="89"/>
      <c r="CH8" s="89" t="s">
        <v>21</v>
      </c>
      <c r="CI8" s="89"/>
      <c r="CJ8" s="89" t="s">
        <v>22</v>
      </c>
      <c r="CK8" s="89"/>
      <c r="CL8" s="89" t="s">
        <v>23</v>
      </c>
      <c r="CM8" s="89"/>
      <c r="CN8" s="89" t="s">
        <v>24</v>
      </c>
      <c r="CO8" s="89"/>
      <c r="CP8" s="89" t="s">
        <v>25</v>
      </c>
      <c r="CQ8" s="89"/>
      <c r="CR8" s="89" t="s">
        <v>26</v>
      </c>
      <c r="CS8" s="89"/>
      <c r="CT8" s="89" t="s">
        <v>15</v>
      </c>
      <c r="CU8" s="89"/>
      <c r="CV8" s="89" t="s">
        <v>16</v>
      </c>
      <c r="CW8" s="89"/>
      <c r="CX8" s="89" t="s">
        <v>17</v>
      </c>
      <c r="CY8" s="89"/>
      <c r="CZ8" s="89" t="s">
        <v>18</v>
      </c>
      <c r="DA8" s="89"/>
      <c r="DB8" s="89" t="s">
        <v>19</v>
      </c>
      <c r="DC8" s="89"/>
      <c r="DD8" s="89" t="s">
        <v>20</v>
      </c>
      <c r="DE8" s="89"/>
      <c r="DF8" s="89" t="s">
        <v>21</v>
      </c>
      <c r="DG8" s="89"/>
      <c r="DH8" s="89" t="s">
        <v>22</v>
      </c>
      <c r="DI8" s="89"/>
      <c r="DJ8" s="89" t="s">
        <v>23</v>
      </c>
      <c r="DK8" s="89"/>
      <c r="DL8" s="89" t="s">
        <v>24</v>
      </c>
      <c r="DM8" s="89"/>
      <c r="DN8" s="89" t="s">
        <v>25</v>
      </c>
      <c r="DO8" s="89"/>
      <c r="DP8" s="89" t="s">
        <v>26</v>
      </c>
      <c r="DQ8" s="89"/>
      <c r="DR8" s="85" t="s">
        <v>15</v>
      </c>
      <c r="DS8" s="85"/>
      <c r="DT8" s="85" t="s">
        <v>16</v>
      </c>
      <c r="DU8" s="85"/>
      <c r="DV8" s="85" t="s">
        <v>17</v>
      </c>
      <c r="DW8" s="85"/>
      <c r="DX8" s="85" t="s">
        <v>18</v>
      </c>
      <c r="DY8" s="85"/>
      <c r="DZ8" s="85" t="s">
        <v>19</v>
      </c>
      <c r="EA8" s="85"/>
      <c r="EB8" s="85" t="s">
        <v>20</v>
      </c>
      <c r="EC8" s="85"/>
      <c r="ED8" s="85" t="s">
        <v>21</v>
      </c>
      <c r="EE8" s="85"/>
      <c r="EF8" s="85" t="s">
        <v>22</v>
      </c>
      <c r="EG8" s="85"/>
      <c r="EH8" s="85" t="s">
        <v>23</v>
      </c>
      <c r="EI8" s="85"/>
      <c r="EJ8" s="85" t="s">
        <v>27</v>
      </c>
      <c r="EK8" s="85"/>
      <c r="EL8" s="85" t="s">
        <v>129</v>
      </c>
      <c r="EM8" s="85"/>
      <c r="EN8" s="85" t="s">
        <v>130</v>
      </c>
      <c r="EO8" s="85"/>
      <c r="EP8" s="85" t="s">
        <v>15</v>
      </c>
      <c r="EQ8" s="85"/>
      <c r="ER8" s="85" t="s">
        <v>16</v>
      </c>
      <c r="ES8" s="85"/>
      <c r="ET8" s="85" t="s">
        <v>17</v>
      </c>
      <c r="EU8" s="85"/>
      <c r="EV8" s="85" t="s">
        <v>18</v>
      </c>
      <c r="EW8" s="85"/>
      <c r="EX8" s="85" t="s">
        <v>19</v>
      </c>
      <c r="EY8" s="85"/>
      <c r="EZ8" s="85" t="s">
        <v>20</v>
      </c>
      <c r="FA8" s="85"/>
      <c r="FB8" s="85" t="s">
        <v>21</v>
      </c>
      <c r="FC8" s="85"/>
      <c r="FD8" s="85" t="s">
        <v>22</v>
      </c>
      <c r="FE8" s="85"/>
      <c r="FF8" s="85" t="s">
        <v>23</v>
      </c>
      <c r="FG8" s="85"/>
      <c r="FH8" s="85" t="s">
        <v>27</v>
      </c>
      <c r="FI8" s="85"/>
      <c r="FJ8" s="85" t="s">
        <v>129</v>
      </c>
      <c r="FK8" s="85"/>
      <c r="FL8" s="85" t="s">
        <v>130</v>
      </c>
      <c r="FM8" s="85"/>
      <c r="FN8" s="85" t="s">
        <v>15</v>
      </c>
      <c r="FO8" s="85"/>
      <c r="FP8" s="85" t="s">
        <v>16</v>
      </c>
      <c r="FQ8" s="85"/>
      <c r="FR8" s="85" t="s">
        <v>17</v>
      </c>
      <c r="FS8" s="85"/>
      <c r="FT8" s="85" t="s">
        <v>18</v>
      </c>
      <c r="FU8" s="85"/>
      <c r="FV8" s="85" t="s">
        <v>19</v>
      </c>
      <c r="FW8" s="85"/>
      <c r="FX8" s="85" t="s">
        <v>20</v>
      </c>
      <c r="FY8" s="85"/>
      <c r="FZ8" s="85" t="s">
        <v>21</v>
      </c>
      <c r="GA8" s="85"/>
      <c r="GB8" s="85" t="s">
        <v>22</v>
      </c>
      <c r="GC8" s="85"/>
      <c r="GD8" s="85" t="s">
        <v>23</v>
      </c>
      <c r="GE8" s="85"/>
      <c r="GF8" s="85" t="s">
        <v>27</v>
      </c>
      <c r="GG8" s="85"/>
      <c r="GH8" s="85" t="s">
        <v>129</v>
      </c>
      <c r="GI8" s="85"/>
      <c r="GJ8" s="85" t="s">
        <v>130</v>
      </c>
      <c r="GK8" s="85"/>
      <c r="GL8" s="85" t="s">
        <v>15</v>
      </c>
      <c r="GM8" s="85"/>
      <c r="GN8" s="85" t="s">
        <v>16</v>
      </c>
      <c r="GO8" s="85"/>
      <c r="GP8" s="85" t="s">
        <v>17</v>
      </c>
      <c r="GQ8" s="85"/>
      <c r="GR8" s="85" t="s">
        <v>18</v>
      </c>
      <c r="GS8" s="85"/>
      <c r="GT8" s="85" t="s">
        <v>19</v>
      </c>
      <c r="GU8" s="85"/>
      <c r="GV8" s="85" t="s">
        <v>20</v>
      </c>
      <c r="GW8" s="85"/>
      <c r="GX8" s="85" t="s">
        <v>21</v>
      </c>
      <c r="GY8" s="85"/>
      <c r="GZ8" s="85" t="s">
        <v>22</v>
      </c>
      <c r="HA8" s="85"/>
      <c r="HB8" s="85" t="s">
        <v>23</v>
      </c>
      <c r="HC8" s="85"/>
      <c r="HD8" s="85" t="s">
        <v>27</v>
      </c>
      <c r="HE8" s="85"/>
      <c r="HF8" s="85" t="s">
        <v>129</v>
      </c>
      <c r="HG8" s="85"/>
      <c r="HH8" s="85" t="s">
        <v>130</v>
      </c>
      <c r="HI8" s="85"/>
      <c r="HJ8" s="85" t="s">
        <v>15</v>
      </c>
      <c r="HK8" s="85"/>
      <c r="HL8" s="85" t="s">
        <v>16</v>
      </c>
      <c r="HM8" s="85"/>
      <c r="HN8" s="85" t="s">
        <v>17</v>
      </c>
      <c r="HO8" s="85"/>
      <c r="HP8" s="85" t="s">
        <v>18</v>
      </c>
      <c r="HQ8" s="85"/>
      <c r="HR8" s="85" t="s">
        <v>19</v>
      </c>
      <c r="HS8" s="85"/>
      <c r="HT8" s="85" t="s">
        <v>20</v>
      </c>
      <c r="HU8" s="85"/>
      <c r="HV8" s="85" t="s">
        <v>21</v>
      </c>
      <c r="HW8" s="85"/>
      <c r="HX8" s="85" t="s">
        <v>22</v>
      </c>
      <c r="HY8" s="85"/>
      <c r="HZ8" s="85" t="s">
        <v>23</v>
      </c>
      <c r="IA8" s="85"/>
      <c r="IB8" s="101"/>
    </row>
    <row r="9" spans="1:306" s="9" customFormat="1" ht="42" x14ac:dyDescent="0.25">
      <c r="A9" s="99"/>
      <c r="B9" s="10" t="s">
        <v>136</v>
      </c>
      <c r="C9" s="11" t="s">
        <v>28</v>
      </c>
      <c r="D9" s="10" t="s">
        <v>136</v>
      </c>
      <c r="E9" s="11" t="s">
        <v>28</v>
      </c>
      <c r="F9" s="10" t="s">
        <v>136</v>
      </c>
      <c r="G9" s="11" t="s">
        <v>28</v>
      </c>
      <c r="H9" s="10" t="s">
        <v>136</v>
      </c>
      <c r="I9" s="11" t="s">
        <v>28</v>
      </c>
      <c r="J9" s="10" t="s">
        <v>136</v>
      </c>
      <c r="K9" s="11" t="s">
        <v>28</v>
      </c>
      <c r="L9" s="10" t="s">
        <v>136</v>
      </c>
      <c r="M9" s="11" t="s">
        <v>28</v>
      </c>
      <c r="N9" s="10" t="s">
        <v>136</v>
      </c>
      <c r="O9" s="11" t="s">
        <v>28</v>
      </c>
      <c r="P9" s="10" t="s">
        <v>136</v>
      </c>
      <c r="Q9" s="11" t="s">
        <v>28</v>
      </c>
      <c r="R9" s="10" t="s">
        <v>136</v>
      </c>
      <c r="S9" s="11" t="s">
        <v>28</v>
      </c>
      <c r="T9" s="10" t="s">
        <v>136</v>
      </c>
      <c r="U9" s="11" t="s">
        <v>28</v>
      </c>
      <c r="V9" s="10" t="s">
        <v>136</v>
      </c>
      <c r="W9" s="11" t="s">
        <v>28</v>
      </c>
      <c r="X9" s="10" t="s">
        <v>136</v>
      </c>
      <c r="Y9" s="11" t="s">
        <v>28</v>
      </c>
      <c r="Z9" s="10" t="s">
        <v>136</v>
      </c>
      <c r="AA9" s="11" t="s">
        <v>28</v>
      </c>
      <c r="AB9" s="10" t="s">
        <v>136</v>
      </c>
      <c r="AC9" s="11" t="s">
        <v>28</v>
      </c>
      <c r="AD9" s="10" t="s">
        <v>136</v>
      </c>
      <c r="AE9" s="11" t="s">
        <v>28</v>
      </c>
      <c r="AF9" s="10" t="s">
        <v>136</v>
      </c>
      <c r="AG9" s="11" t="s">
        <v>28</v>
      </c>
      <c r="AH9" s="10" t="s">
        <v>136</v>
      </c>
      <c r="AI9" s="11" t="s">
        <v>28</v>
      </c>
      <c r="AJ9" s="10" t="s">
        <v>136</v>
      </c>
      <c r="AK9" s="11" t="s">
        <v>28</v>
      </c>
      <c r="AL9" s="10" t="s">
        <v>136</v>
      </c>
      <c r="AM9" s="11" t="s">
        <v>28</v>
      </c>
      <c r="AN9" s="10" t="s">
        <v>136</v>
      </c>
      <c r="AO9" s="11" t="s">
        <v>28</v>
      </c>
      <c r="AP9" s="10" t="s">
        <v>136</v>
      </c>
      <c r="AQ9" s="11" t="s">
        <v>28</v>
      </c>
      <c r="AR9" s="10" t="s">
        <v>136</v>
      </c>
      <c r="AS9" s="11" t="s">
        <v>28</v>
      </c>
      <c r="AT9" s="10" t="s">
        <v>136</v>
      </c>
      <c r="AU9" s="11" t="s">
        <v>28</v>
      </c>
      <c r="AV9" s="10" t="s">
        <v>136</v>
      </c>
      <c r="AW9" s="11" t="s">
        <v>28</v>
      </c>
      <c r="AX9" s="10" t="s">
        <v>136</v>
      </c>
      <c r="AY9" s="11" t="s">
        <v>28</v>
      </c>
      <c r="AZ9" s="10" t="s">
        <v>136</v>
      </c>
      <c r="BA9" s="11" t="s">
        <v>28</v>
      </c>
      <c r="BB9" s="10" t="s">
        <v>136</v>
      </c>
      <c r="BC9" s="11" t="s">
        <v>28</v>
      </c>
      <c r="BD9" s="10" t="s">
        <v>136</v>
      </c>
      <c r="BE9" s="11" t="s">
        <v>28</v>
      </c>
      <c r="BF9" s="10" t="s">
        <v>136</v>
      </c>
      <c r="BG9" s="11" t="s">
        <v>28</v>
      </c>
      <c r="BH9" s="10" t="s">
        <v>136</v>
      </c>
      <c r="BI9" s="11" t="s">
        <v>28</v>
      </c>
      <c r="BJ9" s="10" t="s">
        <v>136</v>
      </c>
      <c r="BK9" s="11" t="s">
        <v>28</v>
      </c>
      <c r="BL9" s="10" t="s">
        <v>136</v>
      </c>
      <c r="BM9" s="11" t="s">
        <v>28</v>
      </c>
      <c r="BN9" s="10" t="s">
        <v>136</v>
      </c>
      <c r="BO9" s="11" t="s">
        <v>28</v>
      </c>
      <c r="BP9" s="10" t="s">
        <v>136</v>
      </c>
      <c r="BQ9" s="11" t="s">
        <v>28</v>
      </c>
      <c r="BR9" s="10" t="s">
        <v>136</v>
      </c>
      <c r="BS9" s="11" t="s">
        <v>28</v>
      </c>
      <c r="BT9" s="10" t="s">
        <v>136</v>
      </c>
      <c r="BU9" s="11" t="s">
        <v>28</v>
      </c>
      <c r="BV9" s="10" t="s">
        <v>136</v>
      </c>
      <c r="BW9" s="11" t="s">
        <v>28</v>
      </c>
      <c r="BX9" s="10" t="s">
        <v>136</v>
      </c>
      <c r="BY9" s="11" t="s">
        <v>28</v>
      </c>
      <c r="BZ9" s="10" t="s">
        <v>136</v>
      </c>
      <c r="CA9" s="11" t="s">
        <v>28</v>
      </c>
      <c r="CB9" s="10" t="s">
        <v>136</v>
      </c>
      <c r="CC9" s="11" t="s">
        <v>28</v>
      </c>
      <c r="CD9" s="10" t="s">
        <v>136</v>
      </c>
      <c r="CE9" s="11" t="s">
        <v>28</v>
      </c>
      <c r="CF9" s="10" t="s">
        <v>136</v>
      </c>
      <c r="CG9" s="11" t="s">
        <v>28</v>
      </c>
      <c r="CH9" s="10" t="s">
        <v>136</v>
      </c>
      <c r="CI9" s="11" t="s">
        <v>28</v>
      </c>
      <c r="CJ9" s="10" t="s">
        <v>136</v>
      </c>
      <c r="CK9" s="11" t="s">
        <v>28</v>
      </c>
      <c r="CL9" s="10" t="s">
        <v>136</v>
      </c>
      <c r="CM9" s="11" t="s">
        <v>28</v>
      </c>
      <c r="CN9" s="10" t="s">
        <v>136</v>
      </c>
      <c r="CO9" s="11" t="s">
        <v>28</v>
      </c>
      <c r="CP9" s="10" t="s">
        <v>136</v>
      </c>
      <c r="CQ9" s="11" t="s">
        <v>28</v>
      </c>
      <c r="CR9" s="10" t="s">
        <v>136</v>
      </c>
      <c r="CS9" s="11" t="s">
        <v>28</v>
      </c>
      <c r="CT9" s="10" t="s">
        <v>136</v>
      </c>
      <c r="CU9" s="11" t="s">
        <v>28</v>
      </c>
      <c r="CV9" s="10" t="s">
        <v>136</v>
      </c>
      <c r="CW9" s="11" t="s">
        <v>28</v>
      </c>
      <c r="CX9" s="10" t="s">
        <v>136</v>
      </c>
      <c r="CY9" s="11" t="s">
        <v>28</v>
      </c>
      <c r="CZ9" s="10" t="s">
        <v>136</v>
      </c>
      <c r="DA9" s="11" t="s">
        <v>28</v>
      </c>
      <c r="DB9" s="10" t="s">
        <v>136</v>
      </c>
      <c r="DC9" s="11" t="s">
        <v>28</v>
      </c>
      <c r="DD9" s="10" t="s">
        <v>136</v>
      </c>
      <c r="DE9" s="11" t="s">
        <v>28</v>
      </c>
      <c r="DF9" s="10" t="s">
        <v>136</v>
      </c>
      <c r="DG9" s="11" t="s">
        <v>28</v>
      </c>
      <c r="DH9" s="10" t="s">
        <v>136</v>
      </c>
      <c r="DI9" s="11" t="s">
        <v>28</v>
      </c>
      <c r="DJ9" s="10" t="s">
        <v>136</v>
      </c>
      <c r="DK9" s="11" t="s">
        <v>28</v>
      </c>
      <c r="DL9" s="10" t="s">
        <v>136</v>
      </c>
      <c r="DM9" s="11" t="s">
        <v>28</v>
      </c>
      <c r="DN9" s="10" t="s">
        <v>136</v>
      </c>
      <c r="DO9" s="11" t="s">
        <v>28</v>
      </c>
      <c r="DP9" s="10" t="s">
        <v>136</v>
      </c>
      <c r="DQ9" s="11" t="s">
        <v>28</v>
      </c>
      <c r="DR9" s="10" t="s">
        <v>136</v>
      </c>
      <c r="DS9" s="11" t="s">
        <v>28</v>
      </c>
      <c r="DT9" s="10" t="s">
        <v>136</v>
      </c>
      <c r="DU9" s="11" t="s">
        <v>28</v>
      </c>
      <c r="DV9" s="10" t="s">
        <v>136</v>
      </c>
      <c r="DW9" s="11" t="s">
        <v>28</v>
      </c>
      <c r="DX9" s="10" t="s">
        <v>136</v>
      </c>
      <c r="DY9" s="11" t="s">
        <v>28</v>
      </c>
      <c r="DZ9" s="10" t="s">
        <v>136</v>
      </c>
      <c r="EA9" s="11" t="s">
        <v>28</v>
      </c>
      <c r="EB9" s="10" t="s">
        <v>136</v>
      </c>
      <c r="EC9" s="11" t="s">
        <v>28</v>
      </c>
      <c r="ED9" s="10" t="s">
        <v>136</v>
      </c>
      <c r="EE9" s="11" t="s">
        <v>28</v>
      </c>
      <c r="EF9" s="11" t="s">
        <v>136</v>
      </c>
      <c r="EG9" s="11" t="s">
        <v>28</v>
      </c>
      <c r="EH9" s="10" t="s">
        <v>136</v>
      </c>
      <c r="EI9" s="11" t="s">
        <v>28</v>
      </c>
      <c r="EJ9" s="10" t="s">
        <v>136</v>
      </c>
      <c r="EK9" s="11" t="s">
        <v>28</v>
      </c>
      <c r="EL9" s="10" t="s">
        <v>136</v>
      </c>
      <c r="EM9" s="11" t="s">
        <v>28</v>
      </c>
      <c r="EN9" s="10" t="s">
        <v>136</v>
      </c>
      <c r="EO9" s="11" t="s">
        <v>28</v>
      </c>
      <c r="EP9" s="10" t="s">
        <v>136</v>
      </c>
      <c r="EQ9" s="11" t="s">
        <v>28</v>
      </c>
      <c r="ER9" s="10" t="s">
        <v>136</v>
      </c>
      <c r="ES9" s="11" t="s">
        <v>28</v>
      </c>
      <c r="ET9" s="10" t="s">
        <v>136</v>
      </c>
      <c r="EU9" s="11" t="s">
        <v>28</v>
      </c>
      <c r="EV9" s="10" t="s">
        <v>136</v>
      </c>
      <c r="EW9" s="11" t="s">
        <v>28</v>
      </c>
      <c r="EX9" s="10" t="s">
        <v>136</v>
      </c>
      <c r="EY9" s="11" t="s">
        <v>28</v>
      </c>
      <c r="EZ9" s="10" t="s">
        <v>136</v>
      </c>
      <c r="FA9" s="11" t="s">
        <v>28</v>
      </c>
      <c r="FB9" s="10" t="s">
        <v>136</v>
      </c>
      <c r="FC9" s="11" t="s">
        <v>28</v>
      </c>
      <c r="FD9" s="10" t="s">
        <v>136</v>
      </c>
      <c r="FE9" s="11" t="s">
        <v>28</v>
      </c>
      <c r="FF9" s="10" t="s">
        <v>136</v>
      </c>
      <c r="FG9" s="11" t="s">
        <v>28</v>
      </c>
      <c r="FH9" s="10" t="s">
        <v>136</v>
      </c>
      <c r="FI9" s="11" t="s">
        <v>28</v>
      </c>
      <c r="FJ9" s="10" t="s">
        <v>136</v>
      </c>
      <c r="FK9" s="11" t="s">
        <v>28</v>
      </c>
      <c r="FL9" s="10" t="s">
        <v>136</v>
      </c>
      <c r="FM9" s="11" t="s">
        <v>28</v>
      </c>
      <c r="FN9" s="10" t="s">
        <v>136</v>
      </c>
      <c r="FO9" s="11" t="s">
        <v>28</v>
      </c>
      <c r="FP9" s="10" t="s">
        <v>136</v>
      </c>
      <c r="FQ9" s="11" t="s">
        <v>28</v>
      </c>
      <c r="FR9" s="10" t="s">
        <v>136</v>
      </c>
      <c r="FS9" s="11" t="s">
        <v>28</v>
      </c>
      <c r="FT9" s="10" t="s">
        <v>136</v>
      </c>
      <c r="FU9" s="11" t="s">
        <v>28</v>
      </c>
      <c r="FV9" s="10" t="s">
        <v>136</v>
      </c>
      <c r="FW9" s="11" t="s">
        <v>28</v>
      </c>
      <c r="FX9" s="10" t="s">
        <v>136</v>
      </c>
      <c r="FY9" s="11" t="s">
        <v>28</v>
      </c>
      <c r="FZ9" s="10" t="s">
        <v>136</v>
      </c>
      <c r="GA9" s="11" t="s">
        <v>28</v>
      </c>
      <c r="GB9" s="10" t="s">
        <v>136</v>
      </c>
      <c r="GC9" s="11" t="s">
        <v>28</v>
      </c>
      <c r="GD9" s="10" t="s">
        <v>136</v>
      </c>
      <c r="GE9" s="11" t="s">
        <v>28</v>
      </c>
      <c r="GF9" s="10" t="s">
        <v>136</v>
      </c>
      <c r="GG9" s="11" t="s">
        <v>28</v>
      </c>
      <c r="GH9" s="10" t="s">
        <v>136</v>
      </c>
      <c r="GI9" s="11" t="s">
        <v>28</v>
      </c>
      <c r="GJ9" s="10" t="s">
        <v>136</v>
      </c>
      <c r="GK9" s="11" t="s">
        <v>28</v>
      </c>
      <c r="GL9" s="10" t="s">
        <v>136</v>
      </c>
      <c r="GM9" s="11" t="s">
        <v>28</v>
      </c>
      <c r="GN9" s="10" t="s">
        <v>136</v>
      </c>
      <c r="GO9" s="11" t="s">
        <v>28</v>
      </c>
      <c r="GP9" s="10" t="s">
        <v>136</v>
      </c>
      <c r="GQ9" s="11" t="s">
        <v>28</v>
      </c>
      <c r="GR9" s="10" t="s">
        <v>136</v>
      </c>
      <c r="GS9" s="11" t="s">
        <v>28</v>
      </c>
      <c r="GT9" s="10" t="s">
        <v>136</v>
      </c>
      <c r="GU9" s="11" t="s">
        <v>28</v>
      </c>
      <c r="GV9" s="10" t="s">
        <v>136</v>
      </c>
      <c r="GW9" s="11" t="s">
        <v>28</v>
      </c>
      <c r="GX9" s="10" t="s">
        <v>136</v>
      </c>
      <c r="GY9" s="11" t="s">
        <v>28</v>
      </c>
      <c r="GZ9" s="10" t="s">
        <v>136</v>
      </c>
      <c r="HA9" s="11" t="s">
        <v>28</v>
      </c>
      <c r="HB9" s="10" t="s">
        <v>136</v>
      </c>
      <c r="HC9" s="11" t="s">
        <v>28</v>
      </c>
      <c r="HD9" s="10" t="s">
        <v>136</v>
      </c>
      <c r="HE9" s="11" t="s">
        <v>28</v>
      </c>
      <c r="HF9" s="10" t="s">
        <v>136</v>
      </c>
      <c r="HG9" s="11" t="s">
        <v>28</v>
      </c>
      <c r="HH9" s="10" t="s">
        <v>136</v>
      </c>
      <c r="HI9" s="11" t="s">
        <v>28</v>
      </c>
      <c r="HJ9" s="10" t="s">
        <v>136</v>
      </c>
      <c r="HK9" s="11" t="s">
        <v>28</v>
      </c>
      <c r="HL9" s="10" t="s">
        <v>136</v>
      </c>
      <c r="HM9" s="11" t="s">
        <v>28</v>
      </c>
      <c r="HN9" s="10" t="s">
        <v>136</v>
      </c>
      <c r="HO9" s="11" t="s">
        <v>28</v>
      </c>
      <c r="HP9" s="10" t="s">
        <v>136</v>
      </c>
      <c r="HQ9" s="11" t="s">
        <v>28</v>
      </c>
      <c r="HR9" s="10" t="s">
        <v>136</v>
      </c>
      <c r="HS9" s="11" t="s">
        <v>28</v>
      </c>
      <c r="HT9" s="10" t="s">
        <v>136</v>
      </c>
      <c r="HU9" s="11" t="s">
        <v>28</v>
      </c>
      <c r="HV9" s="10" t="s">
        <v>136</v>
      </c>
      <c r="HW9" s="11" t="s">
        <v>28</v>
      </c>
      <c r="HX9" s="10" t="s">
        <v>136</v>
      </c>
      <c r="HY9" s="11" t="s">
        <v>28</v>
      </c>
      <c r="HZ9" s="10" t="s">
        <v>136</v>
      </c>
      <c r="IA9" s="11" t="s">
        <v>28</v>
      </c>
      <c r="IB9" s="101"/>
    </row>
    <row r="10" spans="1:306" s="9" customFormat="1" ht="25.5" customHeight="1" x14ac:dyDescent="0.25">
      <c r="A10" s="100"/>
      <c r="B10" s="10" t="s">
        <v>29</v>
      </c>
      <c r="C10" s="11" t="s">
        <v>30</v>
      </c>
      <c r="D10" s="10" t="s">
        <v>29</v>
      </c>
      <c r="E10" s="11" t="s">
        <v>30</v>
      </c>
      <c r="F10" s="10" t="s">
        <v>29</v>
      </c>
      <c r="G10" s="11" t="s">
        <v>30</v>
      </c>
      <c r="H10" s="10" t="s">
        <v>29</v>
      </c>
      <c r="I10" s="11" t="s">
        <v>30</v>
      </c>
      <c r="J10" s="10" t="s">
        <v>29</v>
      </c>
      <c r="K10" s="11" t="s">
        <v>30</v>
      </c>
      <c r="L10" s="10" t="s">
        <v>29</v>
      </c>
      <c r="M10" s="11" t="s">
        <v>30</v>
      </c>
      <c r="N10" s="10" t="s">
        <v>29</v>
      </c>
      <c r="O10" s="11" t="s">
        <v>30</v>
      </c>
      <c r="P10" s="10" t="s">
        <v>29</v>
      </c>
      <c r="Q10" s="11" t="s">
        <v>30</v>
      </c>
      <c r="R10" s="10" t="s">
        <v>29</v>
      </c>
      <c r="S10" s="11" t="s">
        <v>30</v>
      </c>
      <c r="T10" s="10" t="s">
        <v>29</v>
      </c>
      <c r="U10" s="11" t="s">
        <v>30</v>
      </c>
      <c r="V10" s="10" t="s">
        <v>29</v>
      </c>
      <c r="W10" s="11" t="s">
        <v>30</v>
      </c>
      <c r="X10" s="10" t="s">
        <v>29</v>
      </c>
      <c r="Y10" s="11" t="s">
        <v>30</v>
      </c>
      <c r="Z10" s="10" t="s">
        <v>29</v>
      </c>
      <c r="AA10" s="11" t="s">
        <v>30</v>
      </c>
      <c r="AB10" s="10" t="s">
        <v>29</v>
      </c>
      <c r="AC10" s="11" t="s">
        <v>30</v>
      </c>
      <c r="AD10" s="10" t="s">
        <v>29</v>
      </c>
      <c r="AE10" s="11" t="s">
        <v>30</v>
      </c>
      <c r="AF10" s="10" t="s">
        <v>29</v>
      </c>
      <c r="AG10" s="11" t="s">
        <v>30</v>
      </c>
      <c r="AH10" s="10" t="s">
        <v>29</v>
      </c>
      <c r="AI10" s="11" t="s">
        <v>30</v>
      </c>
      <c r="AJ10" s="10" t="s">
        <v>29</v>
      </c>
      <c r="AK10" s="11" t="s">
        <v>30</v>
      </c>
      <c r="AL10" s="10" t="s">
        <v>29</v>
      </c>
      <c r="AM10" s="11" t="s">
        <v>30</v>
      </c>
      <c r="AN10" s="10" t="s">
        <v>29</v>
      </c>
      <c r="AO10" s="11" t="s">
        <v>30</v>
      </c>
      <c r="AP10" s="10" t="s">
        <v>29</v>
      </c>
      <c r="AQ10" s="11" t="s">
        <v>30</v>
      </c>
      <c r="AR10" s="10" t="s">
        <v>29</v>
      </c>
      <c r="AS10" s="11" t="s">
        <v>30</v>
      </c>
      <c r="AT10" s="10" t="s">
        <v>29</v>
      </c>
      <c r="AU10" s="11" t="s">
        <v>30</v>
      </c>
      <c r="AV10" s="10" t="s">
        <v>29</v>
      </c>
      <c r="AW10" s="11" t="s">
        <v>30</v>
      </c>
      <c r="AX10" s="10" t="s">
        <v>29</v>
      </c>
      <c r="AY10" s="11" t="s">
        <v>30</v>
      </c>
      <c r="AZ10" s="10" t="s">
        <v>29</v>
      </c>
      <c r="BA10" s="11" t="s">
        <v>30</v>
      </c>
      <c r="BB10" s="10" t="s">
        <v>29</v>
      </c>
      <c r="BC10" s="11" t="s">
        <v>30</v>
      </c>
      <c r="BD10" s="10" t="s">
        <v>29</v>
      </c>
      <c r="BE10" s="11" t="s">
        <v>30</v>
      </c>
      <c r="BF10" s="10" t="s">
        <v>29</v>
      </c>
      <c r="BG10" s="11" t="s">
        <v>30</v>
      </c>
      <c r="BH10" s="10" t="s">
        <v>29</v>
      </c>
      <c r="BI10" s="11" t="s">
        <v>30</v>
      </c>
      <c r="BJ10" s="10" t="s">
        <v>29</v>
      </c>
      <c r="BK10" s="11" t="s">
        <v>30</v>
      </c>
      <c r="BL10" s="10" t="s">
        <v>29</v>
      </c>
      <c r="BM10" s="11" t="s">
        <v>30</v>
      </c>
      <c r="BN10" s="10" t="s">
        <v>29</v>
      </c>
      <c r="BO10" s="11" t="s">
        <v>30</v>
      </c>
      <c r="BP10" s="10" t="s">
        <v>29</v>
      </c>
      <c r="BQ10" s="11" t="s">
        <v>30</v>
      </c>
      <c r="BR10" s="10" t="s">
        <v>29</v>
      </c>
      <c r="BS10" s="11" t="s">
        <v>30</v>
      </c>
      <c r="BT10" s="10" t="s">
        <v>29</v>
      </c>
      <c r="BU10" s="11" t="s">
        <v>30</v>
      </c>
      <c r="BV10" s="10" t="s">
        <v>29</v>
      </c>
      <c r="BW10" s="11" t="s">
        <v>30</v>
      </c>
      <c r="BX10" s="10" t="s">
        <v>29</v>
      </c>
      <c r="BY10" s="11" t="s">
        <v>30</v>
      </c>
      <c r="BZ10" s="10" t="s">
        <v>29</v>
      </c>
      <c r="CA10" s="11" t="s">
        <v>30</v>
      </c>
      <c r="CB10" s="10" t="s">
        <v>29</v>
      </c>
      <c r="CC10" s="11" t="s">
        <v>30</v>
      </c>
      <c r="CD10" s="10" t="s">
        <v>29</v>
      </c>
      <c r="CE10" s="11" t="s">
        <v>30</v>
      </c>
      <c r="CF10" s="10" t="s">
        <v>29</v>
      </c>
      <c r="CG10" s="11" t="s">
        <v>30</v>
      </c>
      <c r="CH10" s="10" t="s">
        <v>29</v>
      </c>
      <c r="CI10" s="11" t="s">
        <v>30</v>
      </c>
      <c r="CJ10" s="10" t="s">
        <v>29</v>
      </c>
      <c r="CK10" s="11" t="s">
        <v>30</v>
      </c>
      <c r="CL10" s="10" t="s">
        <v>29</v>
      </c>
      <c r="CM10" s="11" t="s">
        <v>30</v>
      </c>
      <c r="CN10" s="10" t="s">
        <v>29</v>
      </c>
      <c r="CO10" s="11" t="s">
        <v>30</v>
      </c>
      <c r="CP10" s="10" t="s">
        <v>29</v>
      </c>
      <c r="CQ10" s="11" t="s">
        <v>30</v>
      </c>
      <c r="CR10" s="10" t="s">
        <v>29</v>
      </c>
      <c r="CS10" s="11" t="s">
        <v>30</v>
      </c>
      <c r="CT10" s="10" t="s">
        <v>29</v>
      </c>
      <c r="CU10" s="11" t="s">
        <v>30</v>
      </c>
      <c r="CV10" s="10" t="s">
        <v>29</v>
      </c>
      <c r="CW10" s="11" t="s">
        <v>30</v>
      </c>
      <c r="CX10" s="10" t="s">
        <v>29</v>
      </c>
      <c r="CY10" s="11" t="s">
        <v>30</v>
      </c>
      <c r="CZ10" s="10" t="s">
        <v>29</v>
      </c>
      <c r="DA10" s="11" t="s">
        <v>30</v>
      </c>
      <c r="DB10" s="10" t="s">
        <v>29</v>
      </c>
      <c r="DC10" s="11" t="s">
        <v>30</v>
      </c>
      <c r="DD10" s="10" t="s">
        <v>29</v>
      </c>
      <c r="DE10" s="11" t="s">
        <v>30</v>
      </c>
      <c r="DF10" s="10" t="s">
        <v>29</v>
      </c>
      <c r="DG10" s="11" t="s">
        <v>30</v>
      </c>
      <c r="DH10" s="10" t="s">
        <v>29</v>
      </c>
      <c r="DI10" s="11" t="s">
        <v>30</v>
      </c>
      <c r="DJ10" s="10" t="s">
        <v>29</v>
      </c>
      <c r="DK10" s="11" t="s">
        <v>30</v>
      </c>
      <c r="DL10" s="10" t="s">
        <v>29</v>
      </c>
      <c r="DM10" s="11" t="s">
        <v>30</v>
      </c>
      <c r="DN10" s="10" t="s">
        <v>29</v>
      </c>
      <c r="DO10" s="11" t="s">
        <v>30</v>
      </c>
      <c r="DP10" s="10" t="s">
        <v>29</v>
      </c>
      <c r="DQ10" s="11" t="s">
        <v>30</v>
      </c>
      <c r="DR10" s="10" t="s">
        <v>29</v>
      </c>
      <c r="DS10" s="11" t="s">
        <v>30</v>
      </c>
      <c r="DT10" s="10" t="s">
        <v>29</v>
      </c>
      <c r="DU10" s="11" t="s">
        <v>30</v>
      </c>
      <c r="DV10" s="10" t="s">
        <v>29</v>
      </c>
      <c r="DW10" s="11" t="s">
        <v>30</v>
      </c>
      <c r="DX10" s="10" t="s">
        <v>29</v>
      </c>
      <c r="DY10" s="11" t="s">
        <v>30</v>
      </c>
      <c r="DZ10" s="10" t="s">
        <v>29</v>
      </c>
      <c r="EA10" s="11" t="s">
        <v>30</v>
      </c>
      <c r="EB10" s="10" t="s">
        <v>29</v>
      </c>
      <c r="EC10" s="11" t="s">
        <v>30</v>
      </c>
      <c r="ED10" s="10" t="s">
        <v>29</v>
      </c>
      <c r="EE10" s="11" t="s">
        <v>30</v>
      </c>
      <c r="EF10" s="11" t="s">
        <v>29</v>
      </c>
      <c r="EG10" s="11" t="s">
        <v>30</v>
      </c>
      <c r="EH10" s="10" t="s">
        <v>29</v>
      </c>
      <c r="EI10" s="11" t="s">
        <v>30</v>
      </c>
      <c r="EJ10" s="10" t="s">
        <v>29</v>
      </c>
      <c r="EK10" s="11" t="s">
        <v>30</v>
      </c>
      <c r="EL10" s="10" t="s">
        <v>29</v>
      </c>
      <c r="EM10" s="11" t="s">
        <v>30</v>
      </c>
      <c r="EN10" s="10" t="s">
        <v>29</v>
      </c>
      <c r="EO10" s="11" t="s">
        <v>30</v>
      </c>
      <c r="EP10" s="10" t="s">
        <v>29</v>
      </c>
      <c r="EQ10" s="11" t="s">
        <v>30</v>
      </c>
      <c r="ER10" s="10" t="s">
        <v>29</v>
      </c>
      <c r="ES10" s="11" t="s">
        <v>30</v>
      </c>
      <c r="ET10" s="10" t="s">
        <v>29</v>
      </c>
      <c r="EU10" s="11" t="s">
        <v>30</v>
      </c>
      <c r="EV10" s="10" t="s">
        <v>29</v>
      </c>
      <c r="EW10" s="11" t="s">
        <v>30</v>
      </c>
      <c r="EX10" s="10" t="s">
        <v>29</v>
      </c>
      <c r="EY10" s="11" t="s">
        <v>30</v>
      </c>
      <c r="EZ10" s="10" t="s">
        <v>29</v>
      </c>
      <c r="FA10" s="11" t="s">
        <v>30</v>
      </c>
      <c r="FB10" s="10" t="s">
        <v>29</v>
      </c>
      <c r="FC10" s="11" t="s">
        <v>30</v>
      </c>
      <c r="FD10" s="10" t="s">
        <v>29</v>
      </c>
      <c r="FE10" s="11" t="s">
        <v>30</v>
      </c>
      <c r="FF10" s="10" t="s">
        <v>29</v>
      </c>
      <c r="FG10" s="11" t="s">
        <v>30</v>
      </c>
      <c r="FH10" s="10" t="s">
        <v>29</v>
      </c>
      <c r="FI10" s="11" t="s">
        <v>30</v>
      </c>
      <c r="FJ10" s="10" t="s">
        <v>29</v>
      </c>
      <c r="FK10" s="11" t="s">
        <v>30</v>
      </c>
      <c r="FL10" s="10" t="s">
        <v>29</v>
      </c>
      <c r="FM10" s="11" t="s">
        <v>30</v>
      </c>
      <c r="FN10" s="10" t="s">
        <v>29</v>
      </c>
      <c r="FO10" s="11" t="s">
        <v>30</v>
      </c>
      <c r="FP10" s="10" t="s">
        <v>29</v>
      </c>
      <c r="FQ10" s="11" t="s">
        <v>30</v>
      </c>
      <c r="FR10" s="10" t="s">
        <v>29</v>
      </c>
      <c r="FS10" s="11" t="s">
        <v>30</v>
      </c>
      <c r="FT10" s="10" t="s">
        <v>29</v>
      </c>
      <c r="FU10" s="11" t="s">
        <v>30</v>
      </c>
      <c r="FV10" s="10" t="s">
        <v>29</v>
      </c>
      <c r="FW10" s="11" t="s">
        <v>30</v>
      </c>
      <c r="FX10" s="10" t="s">
        <v>29</v>
      </c>
      <c r="FY10" s="11" t="s">
        <v>30</v>
      </c>
      <c r="FZ10" s="10" t="s">
        <v>29</v>
      </c>
      <c r="GA10" s="11" t="s">
        <v>30</v>
      </c>
      <c r="GB10" s="10" t="s">
        <v>29</v>
      </c>
      <c r="GC10" s="11" t="s">
        <v>30</v>
      </c>
      <c r="GD10" s="10" t="s">
        <v>29</v>
      </c>
      <c r="GE10" s="11" t="s">
        <v>30</v>
      </c>
      <c r="GF10" s="10" t="s">
        <v>29</v>
      </c>
      <c r="GG10" s="11" t="s">
        <v>30</v>
      </c>
      <c r="GH10" s="10" t="s">
        <v>29</v>
      </c>
      <c r="GI10" s="11" t="s">
        <v>30</v>
      </c>
      <c r="GJ10" s="10" t="s">
        <v>29</v>
      </c>
      <c r="GK10" s="11" t="s">
        <v>30</v>
      </c>
      <c r="GL10" s="10" t="s">
        <v>29</v>
      </c>
      <c r="GM10" s="11" t="s">
        <v>30</v>
      </c>
      <c r="GN10" s="10" t="s">
        <v>29</v>
      </c>
      <c r="GO10" s="11" t="s">
        <v>30</v>
      </c>
      <c r="GP10" s="10" t="s">
        <v>29</v>
      </c>
      <c r="GQ10" s="11" t="s">
        <v>30</v>
      </c>
      <c r="GR10" s="10" t="s">
        <v>29</v>
      </c>
      <c r="GS10" s="11" t="s">
        <v>30</v>
      </c>
      <c r="GT10" s="10" t="s">
        <v>29</v>
      </c>
      <c r="GU10" s="11" t="s">
        <v>30</v>
      </c>
      <c r="GV10" s="10" t="s">
        <v>29</v>
      </c>
      <c r="GW10" s="11" t="s">
        <v>30</v>
      </c>
      <c r="GX10" s="10" t="s">
        <v>29</v>
      </c>
      <c r="GY10" s="11" t="s">
        <v>30</v>
      </c>
      <c r="GZ10" s="10" t="s">
        <v>29</v>
      </c>
      <c r="HA10" s="11" t="s">
        <v>30</v>
      </c>
      <c r="HB10" s="10" t="s">
        <v>29</v>
      </c>
      <c r="HC10" s="11" t="s">
        <v>30</v>
      </c>
      <c r="HD10" s="10" t="s">
        <v>29</v>
      </c>
      <c r="HE10" s="11" t="s">
        <v>30</v>
      </c>
      <c r="HF10" s="10" t="s">
        <v>29</v>
      </c>
      <c r="HG10" s="11" t="s">
        <v>30</v>
      </c>
      <c r="HH10" s="10" t="s">
        <v>29</v>
      </c>
      <c r="HI10" s="11" t="s">
        <v>30</v>
      </c>
      <c r="HJ10" s="10" t="s">
        <v>29</v>
      </c>
      <c r="HK10" s="11" t="s">
        <v>30</v>
      </c>
      <c r="HL10" s="10" t="s">
        <v>29</v>
      </c>
      <c r="HM10" s="11" t="s">
        <v>30</v>
      </c>
      <c r="HN10" s="10" t="s">
        <v>29</v>
      </c>
      <c r="HO10" s="11" t="s">
        <v>30</v>
      </c>
      <c r="HP10" s="10" t="s">
        <v>29</v>
      </c>
      <c r="HQ10" s="11" t="s">
        <v>30</v>
      </c>
      <c r="HR10" s="10" t="s">
        <v>29</v>
      </c>
      <c r="HS10" s="11" t="s">
        <v>30</v>
      </c>
      <c r="HT10" s="10" t="s">
        <v>29</v>
      </c>
      <c r="HU10" s="11" t="s">
        <v>30</v>
      </c>
      <c r="HV10" s="10" t="s">
        <v>29</v>
      </c>
      <c r="HW10" s="11" t="s">
        <v>30</v>
      </c>
      <c r="HX10" s="10" t="s">
        <v>29</v>
      </c>
      <c r="HY10" s="11" t="s">
        <v>30</v>
      </c>
      <c r="HZ10" s="10" t="s">
        <v>29</v>
      </c>
      <c r="IA10" s="11" t="s">
        <v>30</v>
      </c>
      <c r="IB10" s="102"/>
    </row>
    <row r="11" spans="1:306" s="9" customFormat="1" ht="22.5" customHeight="1" x14ac:dyDescent="0.4">
      <c r="A11" s="12" t="s">
        <v>31</v>
      </c>
      <c r="B11" s="35">
        <f t="shared" ref="B11:BM11" si="0">B13+B18</f>
        <v>59108.279780000012</v>
      </c>
      <c r="C11" s="35">
        <f t="shared" si="0"/>
        <v>22825.83741</v>
      </c>
      <c r="D11" s="35">
        <f t="shared" si="0"/>
        <v>81436.483720438002</v>
      </c>
      <c r="E11" s="35">
        <f t="shared" si="0"/>
        <v>35909.666469999996</v>
      </c>
      <c r="F11" s="35">
        <f t="shared" si="0"/>
        <v>111913.34434000001</v>
      </c>
      <c r="G11" s="35">
        <f t="shared" si="0"/>
        <v>47343.730989999996</v>
      </c>
      <c r="H11" s="35">
        <f t="shared" si="0"/>
        <v>140766.13191</v>
      </c>
      <c r="I11" s="35">
        <f t="shared" si="0"/>
        <v>57751.798999999999</v>
      </c>
      <c r="J11" s="35">
        <f t="shared" si="0"/>
        <v>172647.03302999999</v>
      </c>
      <c r="K11" s="35">
        <f t="shared" si="0"/>
        <v>75934.496589999995</v>
      </c>
      <c r="L11" s="35">
        <f t="shared" si="0"/>
        <v>193802.48547999898</v>
      </c>
      <c r="M11" s="35">
        <f t="shared" si="0"/>
        <v>98573.162280000004</v>
      </c>
      <c r="N11" s="35">
        <f t="shared" si="0"/>
        <v>223457.58611999999</v>
      </c>
      <c r="O11" s="35">
        <f t="shared" si="0"/>
        <v>113319.80238000001</v>
      </c>
      <c r="P11" s="35">
        <f t="shared" si="0"/>
        <v>252978.3707</v>
      </c>
      <c r="Q11" s="35">
        <f t="shared" si="0"/>
        <v>130746.44103</v>
      </c>
      <c r="R11" s="35">
        <f t="shared" si="0"/>
        <v>281647.78428000002</v>
      </c>
      <c r="S11" s="35">
        <f t="shared" si="0"/>
        <v>147725.55063000001</v>
      </c>
      <c r="T11" s="35">
        <f t="shared" si="0"/>
        <v>307301.93542999995</v>
      </c>
      <c r="U11" s="35">
        <f t="shared" si="0"/>
        <v>158899.80316000001</v>
      </c>
      <c r="V11" s="35">
        <f t="shared" si="0"/>
        <v>335764.63698000001</v>
      </c>
      <c r="W11" s="35">
        <f t="shared" si="0"/>
        <v>179718.84656000001</v>
      </c>
      <c r="X11" s="35">
        <f t="shared" si="0"/>
        <v>375231.47305000003</v>
      </c>
      <c r="Y11" s="35">
        <f t="shared" si="0"/>
        <v>199424.8922</v>
      </c>
      <c r="Z11" s="35">
        <f t="shared" si="0"/>
        <v>71858.84438000001</v>
      </c>
      <c r="AA11" s="35">
        <f t="shared" si="0"/>
        <v>17992.852439000002</v>
      </c>
      <c r="AB11" s="35">
        <f t="shared" si="0"/>
        <v>106779.38829</v>
      </c>
      <c r="AC11" s="35">
        <f t="shared" si="0"/>
        <v>29637.924689999996</v>
      </c>
      <c r="AD11" s="35">
        <f t="shared" si="0"/>
        <v>157059.21796000001</v>
      </c>
      <c r="AE11" s="35">
        <f t="shared" si="0"/>
        <v>44436.488689999998</v>
      </c>
      <c r="AF11" s="35">
        <f t="shared" si="0"/>
        <v>220860.59321999998</v>
      </c>
      <c r="AG11" s="35">
        <f t="shared" si="0"/>
        <v>56936.578020000001</v>
      </c>
      <c r="AH11" s="35">
        <f t="shared" si="0"/>
        <v>255408.53672999999</v>
      </c>
      <c r="AI11" s="35">
        <f t="shared" si="0"/>
        <v>69784.150410000002</v>
      </c>
      <c r="AJ11" s="35">
        <f t="shared" si="0"/>
        <v>286838.38493000006</v>
      </c>
      <c r="AK11" s="35">
        <f t="shared" si="0"/>
        <v>87105.885379999992</v>
      </c>
      <c r="AL11" s="35">
        <f t="shared" si="0"/>
        <v>334477.69801000005</v>
      </c>
      <c r="AM11" s="35">
        <f t="shared" si="0"/>
        <v>107509.6238</v>
      </c>
      <c r="AN11" s="35">
        <f t="shared" si="0"/>
        <v>374662.73365000007</v>
      </c>
      <c r="AO11" s="35">
        <f t="shared" si="0"/>
        <v>124639.48737000002</v>
      </c>
      <c r="AP11" s="35">
        <f t="shared" si="0"/>
        <v>414944.60618999996</v>
      </c>
      <c r="AQ11" s="35">
        <f t="shared" si="0"/>
        <v>137320.01965999999</v>
      </c>
      <c r="AR11" s="35">
        <f t="shared" si="0"/>
        <v>450761.31994000002</v>
      </c>
      <c r="AS11" s="35">
        <f t="shared" si="0"/>
        <v>149741.78434000001</v>
      </c>
      <c r="AT11" s="35">
        <f t="shared" si="0"/>
        <v>485320.29032000003</v>
      </c>
      <c r="AU11" s="35">
        <f t="shared" si="0"/>
        <v>162417.86358999999</v>
      </c>
      <c r="AV11" s="35">
        <f t="shared" si="0"/>
        <v>536146.87455000007</v>
      </c>
      <c r="AW11" s="35">
        <f t="shared" si="0"/>
        <v>172564.83457000001</v>
      </c>
      <c r="AX11" s="35">
        <f t="shared" si="0"/>
        <v>72588.431540000005</v>
      </c>
      <c r="AY11" s="35">
        <f t="shared" si="0"/>
        <v>10793.73616</v>
      </c>
      <c r="AZ11" s="35">
        <f t="shared" si="0"/>
        <v>103950.46861000001</v>
      </c>
      <c r="BA11" s="35">
        <f t="shared" si="0"/>
        <v>21337.961309999999</v>
      </c>
      <c r="BB11" s="35">
        <f t="shared" si="0"/>
        <v>129931.37953999999</v>
      </c>
      <c r="BC11" s="35">
        <f t="shared" si="0"/>
        <v>29912.106050000002</v>
      </c>
      <c r="BD11" s="35">
        <f t="shared" si="0"/>
        <v>176202.44117000001</v>
      </c>
      <c r="BE11" s="35">
        <f t="shared" si="0"/>
        <v>43346.339839999993</v>
      </c>
      <c r="BF11" s="35">
        <f t="shared" si="0"/>
        <v>212707.16513000001</v>
      </c>
      <c r="BG11" s="35">
        <f t="shared" si="0"/>
        <v>64023.06897</v>
      </c>
      <c r="BH11" s="35">
        <f t="shared" si="0"/>
        <v>241792.75234999997</v>
      </c>
      <c r="BI11" s="35">
        <f t="shared" si="0"/>
        <v>83268.621169999999</v>
      </c>
      <c r="BJ11" s="35">
        <f t="shared" si="0"/>
        <v>285603.54849000007</v>
      </c>
      <c r="BK11" s="35">
        <f t="shared" si="0"/>
        <v>109987.84782</v>
      </c>
      <c r="BL11" s="35">
        <f t="shared" si="0"/>
        <v>315589.47619000002</v>
      </c>
      <c r="BM11" s="35">
        <f t="shared" si="0"/>
        <v>124122.9552</v>
      </c>
      <c r="BN11" s="35">
        <f t="shared" ref="BN11:DY11" si="1">BN13+BN18</f>
        <v>351722.18362999998</v>
      </c>
      <c r="BO11" s="35">
        <f t="shared" si="1"/>
        <v>143441.67624</v>
      </c>
      <c r="BP11" s="35">
        <f t="shared" si="1"/>
        <v>387027.81017000001</v>
      </c>
      <c r="BQ11" s="35">
        <f t="shared" si="1"/>
        <v>159657.07675000001</v>
      </c>
      <c r="BR11" s="35">
        <f t="shared" si="1"/>
        <v>417814.97445999994</v>
      </c>
      <c r="BS11" s="35">
        <f t="shared" si="1"/>
        <v>179540.27496000001</v>
      </c>
      <c r="BT11" s="35">
        <f t="shared" si="1"/>
        <v>456604.20232000004</v>
      </c>
      <c r="BU11" s="35">
        <f t="shared" si="1"/>
        <v>220910.05273999998</v>
      </c>
      <c r="BV11" s="35">
        <f t="shared" si="1"/>
        <v>91230.754159999997</v>
      </c>
      <c r="BW11" s="35">
        <f t="shared" si="1"/>
        <v>19242.320180000002</v>
      </c>
      <c r="BX11" s="35">
        <f t="shared" si="1"/>
        <v>123466.37974</v>
      </c>
      <c r="BY11" s="35">
        <f t="shared" si="1"/>
        <v>34198.379480000003</v>
      </c>
      <c r="BZ11" s="35">
        <f t="shared" si="1"/>
        <v>160517.82574999999</v>
      </c>
      <c r="CA11" s="35">
        <f t="shared" si="1"/>
        <v>57484.857620000002</v>
      </c>
      <c r="CB11" s="35">
        <f t="shared" si="1"/>
        <v>209807.27048000001</v>
      </c>
      <c r="CC11" s="35">
        <f t="shared" si="1"/>
        <v>80282.155119999996</v>
      </c>
      <c r="CD11" s="35">
        <f t="shared" si="1"/>
        <v>242993.74248999998</v>
      </c>
      <c r="CE11" s="35">
        <f t="shared" si="1"/>
        <v>110923.35782</v>
      </c>
      <c r="CF11" s="35">
        <f t="shared" si="1"/>
        <v>274154.15925999999</v>
      </c>
      <c r="CG11" s="35">
        <f t="shared" si="1"/>
        <v>154018.59525000001</v>
      </c>
      <c r="CH11" s="35">
        <f t="shared" si="1"/>
        <v>325474.40952999995</v>
      </c>
      <c r="CI11" s="35">
        <f t="shared" si="1"/>
        <v>188000.64062999998</v>
      </c>
      <c r="CJ11" s="35">
        <f t="shared" si="1"/>
        <v>365855.32296000002</v>
      </c>
      <c r="CK11" s="35">
        <f t="shared" si="1"/>
        <v>219085.65304999999</v>
      </c>
      <c r="CL11" s="35">
        <f t="shared" si="1"/>
        <v>401679.25686999998</v>
      </c>
      <c r="CM11" s="35">
        <f t="shared" si="1"/>
        <v>257299.08840000001</v>
      </c>
      <c r="CN11" s="35">
        <f t="shared" si="1"/>
        <v>435222.30601000006</v>
      </c>
      <c r="CO11" s="35">
        <f t="shared" si="1"/>
        <v>293939.20003000001</v>
      </c>
      <c r="CP11" s="35">
        <f t="shared" si="1"/>
        <v>461646.02765</v>
      </c>
      <c r="CQ11" s="35">
        <f t="shared" si="1"/>
        <v>328069.42420999997</v>
      </c>
      <c r="CR11" s="35">
        <f t="shared" si="1"/>
        <v>502768.70271000004</v>
      </c>
      <c r="CS11" s="35">
        <f t="shared" si="1"/>
        <v>378741.23450000002</v>
      </c>
      <c r="CT11" s="35">
        <f t="shared" si="1"/>
        <v>84178.325880000004</v>
      </c>
      <c r="CU11" s="35">
        <f t="shared" si="1"/>
        <v>37187.69829</v>
      </c>
      <c r="CV11" s="35">
        <f t="shared" si="1"/>
        <v>117747.58765</v>
      </c>
      <c r="CW11" s="35">
        <f t="shared" si="1"/>
        <v>67109.673500000004</v>
      </c>
      <c r="CX11" s="35">
        <f t="shared" si="1"/>
        <v>155647.98918</v>
      </c>
      <c r="CY11" s="35">
        <f t="shared" si="1"/>
        <v>104330.01140000002</v>
      </c>
      <c r="CZ11" s="35">
        <f t="shared" si="1"/>
        <v>222416.18964000003</v>
      </c>
      <c r="DA11" s="35">
        <f t="shared" si="1"/>
        <v>129372.58914</v>
      </c>
      <c r="DB11" s="35">
        <f t="shared" si="1"/>
        <v>264787.44631000003</v>
      </c>
      <c r="DC11" s="35">
        <f t="shared" si="1"/>
        <v>151540.48887999999</v>
      </c>
      <c r="DD11" s="35">
        <f t="shared" si="1"/>
        <v>304513.32678999996</v>
      </c>
      <c r="DE11" s="35">
        <f t="shared" si="1"/>
        <v>183663.41975</v>
      </c>
      <c r="DF11" s="35">
        <f t="shared" si="1"/>
        <v>364792.14871999994</v>
      </c>
      <c r="DG11" s="35">
        <f t="shared" si="1"/>
        <v>228183.79194000002</v>
      </c>
      <c r="DH11" s="35">
        <f t="shared" si="1"/>
        <v>398829.93345999997</v>
      </c>
      <c r="DI11" s="35">
        <f t="shared" si="1"/>
        <v>257744.44704</v>
      </c>
      <c r="DJ11" s="35">
        <f t="shared" si="1"/>
        <v>443835.39465000003</v>
      </c>
      <c r="DK11" s="35">
        <f t="shared" si="1"/>
        <v>280839.54478300002</v>
      </c>
      <c r="DL11" s="35">
        <f t="shared" si="1"/>
        <v>482652.29535999999</v>
      </c>
      <c r="DM11" s="35">
        <f t="shared" si="1"/>
        <v>299848.42320000002</v>
      </c>
      <c r="DN11" s="35">
        <f t="shared" si="1"/>
        <v>528794.12450999999</v>
      </c>
      <c r="DO11" s="35">
        <f t="shared" si="1"/>
        <v>319738.47968300001</v>
      </c>
      <c r="DP11" s="35">
        <f t="shared" si="1"/>
        <v>586594.62865999993</v>
      </c>
      <c r="DQ11" s="36">
        <f t="shared" si="1"/>
        <v>339265.52567999996</v>
      </c>
      <c r="DR11" s="37">
        <f t="shared" si="1"/>
        <v>99281.556080000009</v>
      </c>
      <c r="DS11" s="38">
        <f t="shared" si="1"/>
        <v>9444.8248000000003</v>
      </c>
      <c r="DT11" s="39">
        <f t="shared" si="1"/>
        <v>143136.26617099997</v>
      </c>
      <c r="DU11" s="36">
        <f t="shared" si="1"/>
        <v>24463.269250000001</v>
      </c>
      <c r="DV11" s="40">
        <f t="shared" si="1"/>
        <v>193989.10613999999</v>
      </c>
      <c r="DW11" s="41">
        <f t="shared" si="1"/>
        <v>38898.655809999997</v>
      </c>
      <c r="DX11" s="39">
        <f t="shared" si="1"/>
        <v>267745.00729999994</v>
      </c>
      <c r="DY11" s="36">
        <f t="shared" si="1"/>
        <v>62350.635609999998</v>
      </c>
      <c r="DZ11" s="40">
        <f t="shared" ref="DZ11:EM11" si="2">DZ13+DZ18</f>
        <v>318065.35183000006</v>
      </c>
      <c r="EA11" s="41">
        <f t="shared" si="2"/>
        <v>90598.459000000003</v>
      </c>
      <c r="EB11" s="39">
        <f t="shared" si="2"/>
        <v>366698.12631000008</v>
      </c>
      <c r="EC11" s="36">
        <f t="shared" si="2"/>
        <v>130249.03214</v>
      </c>
      <c r="ED11" s="40">
        <f t="shared" si="2"/>
        <v>438710.31428000005</v>
      </c>
      <c r="EE11" s="41">
        <f t="shared" si="2"/>
        <v>186782.81148000003</v>
      </c>
      <c r="EF11" s="42">
        <f t="shared" si="2"/>
        <v>493685.8701</v>
      </c>
      <c r="EG11" s="41">
        <f t="shared" si="2"/>
        <v>220316.80287000001</v>
      </c>
      <c r="EH11" s="40">
        <f t="shared" si="2"/>
        <v>553565.34953000001</v>
      </c>
      <c r="EI11" s="43">
        <f t="shared" si="2"/>
        <v>246766.73180000001</v>
      </c>
      <c r="EJ11" s="42">
        <f t="shared" si="2"/>
        <v>601852.72037</v>
      </c>
      <c r="EK11" s="41">
        <f t="shared" si="2"/>
        <v>279218.96015000006</v>
      </c>
      <c r="EL11" s="40">
        <f t="shared" si="2"/>
        <v>657638.55290999997</v>
      </c>
      <c r="EM11" s="43">
        <f t="shared" si="2"/>
        <v>313746.87060999998</v>
      </c>
      <c r="EN11" s="40">
        <f t="shared" ref="EN11:EO11" si="3">EN13+EN18</f>
        <v>728071.01115999999</v>
      </c>
      <c r="EO11" s="43">
        <f t="shared" si="3"/>
        <v>337633.16804000002</v>
      </c>
      <c r="EP11" s="40">
        <f t="shared" ref="EP11:EQ11" si="4">EP13+EP18</f>
        <v>113490.66243000001</v>
      </c>
      <c r="EQ11" s="43">
        <f t="shared" si="4"/>
        <v>26870.20695</v>
      </c>
      <c r="ER11" s="40">
        <f t="shared" ref="ER11:ES11" si="5">ER13+ER18</f>
        <v>171427.38548</v>
      </c>
      <c r="ES11" s="43">
        <f t="shared" si="5"/>
        <v>52591.037230000002</v>
      </c>
      <c r="ET11" s="40">
        <f t="shared" ref="ET11:EU11" si="6">ET13+ET18</f>
        <v>255355.92375000002</v>
      </c>
      <c r="EU11" s="43">
        <f t="shared" si="6"/>
        <v>78217.819310000006</v>
      </c>
      <c r="EV11" s="40">
        <f t="shared" ref="EV11:EW11" si="7">EV13+EV18</f>
        <v>341853.86812</v>
      </c>
      <c r="EW11" s="43">
        <f t="shared" si="7"/>
        <v>102501.93807999999</v>
      </c>
      <c r="EX11" s="40">
        <f t="shared" ref="EX11:EY11" si="8">EX13+EX18</f>
        <v>410666.32101000001</v>
      </c>
      <c r="EY11" s="43">
        <f t="shared" si="8"/>
        <v>133340.32786999998</v>
      </c>
      <c r="EZ11" s="40">
        <f t="shared" ref="EZ11:FA11" si="9">EZ13+EZ18</f>
        <v>470656.02851999999</v>
      </c>
      <c r="FA11" s="43">
        <f t="shared" si="9"/>
        <v>174824.24132999999</v>
      </c>
      <c r="FB11" s="40">
        <f t="shared" ref="FB11:FC11" si="10">FB13+FB18</f>
        <v>559287.32224999997</v>
      </c>
      <c r="FC11" s="43">
        <f t="shared" si="10"/>
        <v>221326.00675000003</v>
      </c>
      <c r="FD11" s="40">
        <f t="shared" ref="FD11:FE11" si="11">FD13+FD18</f>
        <v>618920.68718999997</v>
      </c>
      <c r="FE11" s="43">
        <f t="shared" si="11"/>
        <v>274138.60837999999</v>
      </c>
      <c r="FF11" s="40">
        <f t="shared" ref="FF11:FG11" si="12">FF13+FF18</f>
        <v>686071.20922000008</v>
      </c>
      <c r="FG11" s="43">
        <f t="shared" si="12"/>
        <v>320151.46427999996</v>
      </c>
      <c r="FH11" s="40">
        <f t="shared" ref="FH11:FI11" si="13">FH13+FH18</f>
        <v>748890.64110000001</v>
      </c>
      <c r="FI11" s="43">
        <f t="shared" si="13"/>
        <v>364539.6716</v>
      </c>
      <c r="FJ11" s="40">
        <f t="shared" ref="FJ11:FK11" si="14">FJ13+FJ18</f>
        <v>812598.88630999997</v>
      </c>
      <c r="FK11" s="43">
        <f t="shared" si="14"/>
        <v>398352.01985999994</v>
      </c>
      <c r="FL11" s="40">
        <f t="shared" ref="FL11:FM11" si="15">FL13+FL18</f>
        <v>888104.33716999996</v>
      </c>
      <c r="FM11" s="43">
        <f t="shared" si="15"/>
        <v>479252.54622000002</v>
      </c>
      <c r="FN11" s="40">
        <f t="shared" ref="FN11:FO11" si="16">FN13+FN18</f>
        <v>118306.60537</v>
      </c>
      <c r="FO11" s="43">
        <f t="shared" si="16"/>
        <v>30547.419670000003</v>
      </c>
      <c r="FP11" s="40">
        <f t="shared" ref="FP11:FQ11" si="17">FP13+FP18</f>
        <v>191047.25730999996</v>
      </c>
      <c r="FQ11" s="43">
        <f t="shared" si="17"/>
        <v>79822.840609999999</v>
      </c>
      <c r="FR11" s="40">
        <f t="shared" ref="FR11:FS11" si="18">FR13+FR18</f>
        <v>278311.7501</v>
      </c>
      <c r="FS11" s="43">
        <f t="shared" si="18"/>
        <v>124135.70495999999</v>
      </c>
      <c r="FT11" s="40">
        <f t="shared" ref="FT11:FU11" si="19">FT13+FT18</f>
        <v>410401.06472999998</v>
      </c>
      <c r="FU11" s="43">
        <f t="shared" si="19"/>
        <v>167184.33017999999</v>
      </c>
      <c r="FV11" s="40">
        <f t="shared" ref="FV11:FW11" si="20">FV13+FV18</f>
        <v>481888.14881000004</v>
      </c>
      <c r="FW11" s="43">
        <f t="shared" si="20"/>
        <v>220264.61818999998</v>
      </c>
      <c r="FX11" s="40">
        <f t="shared" ref="FX11:FY11" si="21">FX13+FX18</f>
        <v>541063.86011999997</v>
      </c>
      <c r="FY11" s="43">
        <f t="shared" si="21"/>
        <v>294750.76533000002</v>
      </c>
      <c r="FZ11" s="40">
        <f t="shared" ref="FZ11:GA11" si="22">FZ13+FZ18</f>
        <v>623724.83027999999</v>
      </c>
      <c r="GA11" s="43">
        <f t="shared" si="22"/>
        <v>366807.18531000003</v>
      </c>
      <c r="GB11" s="40">
        <f t="shared" ref="GB11:GE11" si="23">GB13+GB18</f>
        <v>692837.42812000006</v>
      </c>
      <c r="GC11" s="43">
        <f t="shared" si="23"/>
        <v>414388.49855000002</v>
      </c>
      <c r="GD11" s="40">
        <f t="shared" si="23"/>
        <v>765428.60534000001</v>
      </c>
      <c r="GE11" s="43">
        <f t="shared" si="23"/>
        <v>454801.31605000002</v>
      </c>
      <c r="GF11" s="40">
        <f t="shared" ref="GF11:GG11" si="24">GF13+GF18</f>
        <v>829101.73564999993</v>
      </c>
      <c r="GG11" s="43">
        <f t="shared" si="24"/>
        <v>510255.71868999995</v>
      </c>
      <c r="GH11" s="40">
        <f t="shared" ref="GH11:GI11" si="25">GH13+GH18</f>
        <v>912557.65986999986</v>
      </c>
      <c r="GI11" s="43">
        <f t="shared" si="25"/>
        <v>568092.46887999994</v>
      </c>
      <c r="GJ11" s="40">
        <f t="shared" ref="GJ11:GK11" si="26">GJ13+GJ18</f>
        <v>1011329.7610800001</v>
      </c>
      <c r="GK11" s="43">
        <f t="shared" si="26"/>
        <v>613016.36939999997</v>
      </c>
      <c r="GL11" s="40">
        <f t="shared" ref="GL11:GQ11" si="27">GL13+GL18</f>
        <v>140601.05796000001</v>
      </c>
      <c r="GM11" s="43">
        <f t="shared" si="27"/>
        <v>37519.304199999999</v>
      </c>
      <c r="GN11" s="40">
        <f t="shared" si="27"/>
        <v>220090.17443000001</v>
      </c>
      <c r="GO11" s="43">
        <f t="shared" si="27"/>
        <v>87366.37698999999</v>
      </c>
      <c r="GP11" s="40">
        <f t="shared" si="27"/>
        <v>307945.36141000001</v>
      </c>
      <c r="GQ11" s="43">
        <f t="shared" si="27"/>
        <v>134101.757231767</v>
      </c>
      <c r="GR11" s="40">
        <f t="shared" ref="GR11:GS11" si="28">GR13+GR18</f>
        <v>451855.58370999998</v>
      </c>
      <c r="GS11" s="43">
        <f t="shared" si="28"/>
        <v>187055.75312000001</v>
      </c>
      <c r="GT11" s="40">
        <f t="shared" ref="GT11:GU11" si="29">GT13+GT18</f>
        <v>548124.53364000004</v>
      </c>
      <c r="GU11" s="43">
        <f t="shared" si="29"/>
        <v>257364.54573000001</v>
      </c>
      <c r="GV11" s="40">
        <f t="shared" ref="GV11:GW11" si="30">GV13+GV18</f>
        <v>622364.74797999999</v>
      </c>
      <c r="GW11" s="43">
        <f t="shared" si="30"/>
        <v>363872.38421000005</v>
      </c>
      <c r="GX11" s="40">
        <f t="shared" ref="GX11:GY11" si="31">GX13+GX18</f>
        <v>716301.29232000001</v>
      </c>
      <c r="GY11" s="43">
        <f t="shared" si="31"/>
        <v>448712.17175999994</v>
      </c>
      <c r="GZ11" s="40">
        <f t="shared" ref="GZ11:HA11" si="32">GZ13+GZ18</f>
        <v>798213.28306000005</v>
      </c>
      <c r="HA11" s="43">
        <f t="shared" si="32"/>
        <v>510739.40969</v>
      </c>
      <c r="HB11" s="40">
        <f t="shared" ref="HB11:HC11" si="33">HB13+HB18</f>
        <v>881844.1484699999</v>
      </c>
      <c r="HC11" s="43">
        <f t="shared" si="33"/>
        <v>578474.84751999995</v>
      </c>
      <c r="HD11" s="40">
        <f t="shared" ref="HD11:HE11" si="34">HD13+HD18</f>
        <v>954643.21652000002</v>
      </c>
      <c r="HE11" s="43">
        <f t="shared" si="34"/>
        <v>651761.40153000003</v>
      </c>
      <c r="HF11" s="40">
        <f t="shared" ref="HF11:HG11" si="35">HF13+HF18</f>
        <v>1034015.2585500001</v>
      </c>
      <c r="HG11" s="43">
        <f t="shared" si="35"/>
        <v>713141.48776000005</v>
      </c>
      <c r="HH11" s="40">
        <f t="shared" ref="HH11:HI11" si="36">HH13+HH18</f>
        <v>1138898.29406</v>
      </c>
      <c r="HI11" s="43">
        <f t="shared" si="36"/>
        <v>773824.32988999994</v>
      </c>
      <c r="HJ11" s="40">
        <f t="shared" ref="HJ11:HK11" si="37">HJ13+HJ18</f>
        <v>136456.21274000002</v>
      </c>
      <c r="HK11" s="43">
        <f t="shared" si="37"/>
        <v>50261.695729999999</v>
      </c>
      <c r="HL11" s="40">
        <f t="shared" ref="HL11:HM11" si="38">HL13+HL18</f>
        <v>234435.81361999997</v>
      </c>
      <c r="HM11" s="43">
        <f t="shared" si="38"/>
        <v>121771.7916</v>
      </c>
      <c r="HN11" s="40">
        <f t="shared" ref="HN11:HO11" si="39">HN13+HN18</f>
        <v>352277.03115000005</v>
      </c>
      <c r="HO11" s="43">
        <f t="shared" si="39"/>
        <v>180319.01433999999</v>
      </c>
      <c r="HP11" s="40">
        <f t="shared" ref="HP11:HQ11" si="40">HP13+HP18</f>
        <v>518002.22641000006</v>
      </c>
      <c r="HQ11" s="43">
        <f t="shared" si="40"/>
        <v>250643.03156000003</v>
      </c>
      <c r="HR11" s="40">
        <f t="shared" ref="HR11:HS11" si="41">HR13+HR18</f>
        <v>614554.77214000002</v>
      </c>
      <c r="HS11" s="43">
        <f t="shared" si="41"/>
        <v>343682.00951000006</v>
      </c>
      <c r="HT11" s="40">
        <f t="shared" ref="HT11:HU11" si="42">HT13+HT18</f>
        <v>717722.10600999999</v>
      </c>
      <c r="HU11" s="43">
        <f t="shared" si="42"/>
        <v>470002.87548999989</v>
      </c>
      <c r="HV11" s="40">
        <f t="shared" ref="HV11:HW11" si="43">HV13+HV18</f>
        <v>823048.18698999996</v>
      </c>
      <c r="HW11" s="43">
        <f t="shared" si="43"/>
        <v>576273.55822999997</v>
      </c>
      <c r="HX11" s="40">
        <f t="shared" ref="HX11:HY11" si="44">HX13+HX18</f>
        <v>901902.74817000004</v>
      </c>
      <c r="HY11" s="43">
        <f t="shared" si="44"/>
        <v>662490.98435999989</v>
      </c>
      <c r="HZ11" s="40">
        <f t="shared" ref="HZ11:IA11" si="45">HZ13+HZ18</f>
        <v>992874.10498000006</v>
      </c>
      <c r="IA11" s="43">
        <f t="shared" si="45"/>
        <v>756936.47811000014</v>
      </c>
      <c r="IB11" s="12" t="s">
        <v>32</v>
      </c>
    </row>
    <row r="12" spans="1:306" s="9" customFormat="1" ht="22.5" customHeight="1" x14ac:dyDescent="0.35">
      <c r="A12" s="13" t="s">
        <v>33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5"/>
      <c r="DR12" s="46"/>
      <c r="DS12" s="47"/>
      <c r="DT12" s="48"/>
      <c r="DU12" s="45"/>
      <c r="DV12" s="46"/>
      <c r="DW12" s="47"/>
      <c r="DX12" s="48"/>
      <c r="DY12" s="45"/>
      <c r="DZ12" s="46"/>
      <c r="EA12" s="47"/>
      <c r="EB12" s="48"/>
      <c r="EC12" s="45"/>
      <c r="ED12" s="46"/>
      <c r="EE12" s="47"/>
      <c r="EF12" s="46"/>
      <c r="EG12" s="47"/>
      <c r="EH12" s="48"/>
      <c r="EI12" s="47"/>
      <c r="EJ12" s="48"/>
      <c r="EK12" s="47"/>
      <c r="EL12" s="46"/>
      <c r="EM12" s="49"/>
      <c r="EN12" s="46"/>
      <c r="EO12" s="49"/>
      <c r="EP12" s="46"/>
      <c r="EQ12" s="49"/>
      <c r="ER12" s="46"/>
      <c r="ES12" s="49"/>
      <c r="ET12" s="46"/>
      <c r="EU12" s="49"/>
      <c r="EV12" s="46"/>
      <c r="EW12" s="49"/>
      <c r="EX12" s="46"/>
      <c r="EY12" s="49"/>
      <c r="EZ12" s="46"/>
      <c r="FA12" s="49"/>
      <c r="FB12" s="46"/>
      <c r="FC12" s="49"/>
      <c r="FD12" s="46"/>
      <c r="FE12" s="49"/>
      <c r="FF12" s="46"/>
      <c r="FG12" s="49"/>
      <c r="FH12" s="46"/>
      <c r="FI12" s="49"/>
      <c r="FJ12" s="46"/>
      <c r="FK12" s="49"/>
      <c r="FL12" s="46"/>
      <c r="FM12" s="49"/>
      <c r="FN12" s="46"/>
      <c r="FO12" s="49"/>
      <c r="FP12" s="46"/>
      <c r="FQ12" s="49"/>
      <c r="FR12" s="46"/>
      <c r="FS12" s="49"/>
      <c r="FT12" s="46"/>
      <c r="FU12" s="49"/>
      <c r="FV12" s="46"/>
      <c r="FW12" s="49"/>
      <c r="FX12" s="46"/>
      <c r="FY12" s="49"/>
      <c r="FZ12" s="46"/>
      <c r="GA12" s="49"/>
      <c r="GB12" s="46"/>
      <c r="GC12" s="49"/>
      <c r="GD12" s="46"/>
      <c r="GE12" s="49"/>
      <c r="GF12" s="46"/>
      <c r="GG12" s="49"/>
      <c r="GH12" s="46"/>
      <c r="GI12" s="49"/>
      <c r="GJ12" s="46"/>
      <c r="GK12" s="49"/>
      <c r="GL12" s="46"/>
      <c r="GM12" s="49"/>
      <c r="GN12" s="46"/>
      <c r="GO12" s="49"/>
      <c r="GP12" s="46"/>
      <c r="GQ12" s="49"/>
      <c r="GR12" s="46"/>
      <c r="GS12" s="49"/>
      <c r="GT12" s="46"/>
      <c r="GU12" s="49"/>
      <c r="GV12" s="46"/>
      <c r="GW12" s="49"/>
      <c r="GX12" s="46"/>
      <c r="GY12" s="49"/>
      <c r="GZ12" s="46"/>
      <c r="HA12" s="49"/>
      <c r="HB12" s="46"/>
      <c r="HC12" s="49"/>
      <c r="HD12" s="46"/>
      <c r="HE12" s="49"/>
      <c r="HF12" s="46"/>
      <c r="HG12" s="49"/>
      <c r="HH12" s="46"/>
      <c r="HI12" s="49"/>
      <c r="HJ12" s="46"/>
      <c r="HK12" s="49"/>
      <c r="HL12" s="46"/>
      <c r="HM12" s="49"/>
      <c r="HN12" s="46"/>
      <c r="HO12" s="49"/>
      <c r="HP12" s="46"/>
      <c r="HQ12" s="49"/>
      <c r="HR12" s="46"/>
      <c r="HS12" s="49"/>
      <c r="HT12" s="46"/>
      <c r="HU12" s="49"/>
      <c r="HV12" s="46"/>
      <c r="HW12" s="49"/>
      <c r="HX12" s="46"/>
      <c r="HY12" s="49"/>
      <c r="HZ12" s="46"/>
      <c r="IA12" s="49"/>
      <c r="IB12" s="13" t="s">
        <v>108</v>
      </c>
    </row>
    <row r="13" spans="1:306" s="9" customFormat="1" ht="22.5" customHeight="1" x14ac:dyDescent="0.4">
      <c r="A13" s="14" t="s">
        <v>34</v>
      </c>
      <c r="B13" s="44">
        <f t="shared" ref="B13:BM13" si="46">SUM(B14:B17)</f>
        <v>6342.8492200000001</v>
      </c>
      <c r="C13" s="44">
        <f t="shared" si="46"/>
        <v>17166.309270000002</v>
      </c>
      <c r="D13" s="44">
        <f t="shared" si="46"/>
        <v>15136.20363</v>
      </c>
      <c r="E13" s="44">
        <f t="shared" si="46"/>
        <v>25599.854559999996</v>
      </c>
      <c r="F13" s="44">
        <f t="shared" si="46"/>
        <v>34166.324560000001</v>
      </c>
      <c r="G13" s="44">
        <f t="shared" si="46"/>
        <v>31003.583899999998</v>
      </c>
      <c r="H13" s="44">
        <f t="shared" si="46"/>
        <v>54343.006259999995</v>
      </c>
      <c r="I13" s="44">
        <f t="shared" si="46"/>
        <v>37626.183779999999</v>
      </c>
      <c r="J13" s="44">
        <f t="shared" si="46"/>
        <v>74275.737050000011</v>
      </c>
      <c r="K13" s="44">
        <f t="shared" si="46"/>
        <v>47643.747820000004</v>
      </c>
      <c r="L13" s="44">
        <f t="shared" si="46"/>
        <v>84646.730819998993</v>
      </c>
      <c r="M13" s="44">
        <f t="shared" si="46"/>
        <v>61012.837459999995</v>
      </c>
      <c r="N13" s="44">
        <f t="shared" si="46"/>
        <v>96297.332630000004</v>
      </c>
      <c r="O13" s="44">
        <f t="shared" si="46"/>
        <v>69338.036550000004</v>
      </c>
      <c r="P13" s="44">
        <f t="shared" si="46"/>
        <v>110871.53505999999</v>
      </c>
      <c r="Q13" s="44">
        <f t="shared" si="46"/>
        <v>77260.153109999999</v>
      </c>
      <c r="R13" s="44">
        <f t="shared" si="46"/>
        <v>123875.35850000002</v>
      </c>
      <c r="S13" s="44">
        <f t="shared" si="46"/>
        <v>89051.943490000005</v>
      </c>
      <c r="T13" s="44">
        <f t="shared" si="46"/>
        <v>138181.25177999996</v>
      </c>
      <c r="U13" s="44">
        <f t="shared" si="46"/>
        <v>93637.328750000001</v>
      </c>
      <c r="V13" s="44">
        <f t="shared" si="46"/>
        <v>155559.02755</v>
      </c>
      <c r="W13" s="44">
        <f t="shared" si="46"/>
        <v>110562.99611000001</v>
      </c>
      <c r="X13" s="44">
        <f t="shared" si="46"/>
        <v>177855.77153000003</v>
      </c>
      <c r="Y13" s="44">
        <f t="shared" si="46"/>
        <v>126406.9201</v>
      </c>
      <c r="Z13" s="44">
        <f t="shared" si="46"/>
        <v>16702.570650000001</v>
      </c>
      <c r="AA13" s="44">
        <f t="shared" si="46"/>
        <v>10995.473970000001</v>
      </c>
      <c r="AB13" s="44">
        <f t="shared" si="46"/>
        <v>36224.588850000007</v>
      </c>
      <c r="AC13" s="44">
        <f t="shared" si="46"/>
        <v>16610.190009999998</v>
      </c>
      <c r="AD13" s="44">
        <f t="shared" si="46"/>
        <v>63307.579740000008</v>
      </c>
      <c r="AE13" s="44">
        <f t="shared" si="46"/>
        <v>26711.776180000001</v>
      </c>
      <c r="AF13" s="44">
        <f t="shared" si="46"/>
        <v>115597.70895999999</v>
      </c>
      <c r="AG13" s="44">
        <f t="shared" si="46"/>
        <v>30813.443630000002</v>
      </c>
      <c r="AH13" s="44">
        <f t="shared" si="46"/>
        <v>138086.18336</v>
      </c>
      <c r="AI13" s="44">
        <f t="shared" si="46"/>
        <v>37356.379289999997</v>
      </c>
      <c r="AJ13" s="44">
        <f t="shared" si="46"/>
        <v>158932.39964000002</v>
      </c>
      <c r="AK13" s="44">
        <f t="shared" si="46"/>
        <v>48915.751250000001</v>
      </c>
      <c r="AL13" s="44">
        <f t="shared" si="46"/>
        <v>185169.27197000003</v>
      </c>
      <c r="AM13" s="44">
        <f t="shared" si="46"/>
        <v>62643.390529999997</v>
      </c>
      <c r="AN13" s="44">
        <f t="shared" si="46"/>
        <v>211796.39895000003</v>
      </c>
      <c r="AO13" s="44">
        <f t="shared" si="46"/>
        <v>73581.876470000017</v>
      </c>
      <c r="AP13" s="44">
        <f t="shared" si="46"/>
        <v>235020.05383999998</v>
      </c>
      <c r="AQ13" s="44">
        <f t="shared" si="46"/>
        <v>80542.979149999999</v>
      </c>
      <c r="AR13" s="44">
        <f t="shared" si="46"/>
        <v>256326.01818000001</v>
      </c>
      <c r="AS13" s="44">
        <f t="shared" si="46"/>
        <v>86544.231280000007</v>
      </c>
      <c r="AT13" s="44">
        <f t="shared" si="46"/>
        <v>279417.69367000001</v>
      </c>
      <c r="AU13" s="44">
        <f t="shared" si="46"/>
        <v>90857.292849999998</v>
      </c>
      <c r="AV13" s="44">
        <f t="shared" si="46"/>
        <v>305700.39014000003</v>
      </c>
      <c r="AW13" s="44">
        <f t="shared" si="46"/>
        <v>94978.919219999996</v>
      </c>
      <c r="AX13" s="44">
        <f t="shared" si="46"/>
        <v>11540.625180000001</v>
      </c>
      <c r="AY13" s="44">
        <f t="shared" si="46"/>
        <v>7442.02729</v>
      </c>
      <c r="AZ13" s="44">
        <f t="shared" si="46"/>
        <v>24798.76902</v>
      </c>
      <c r="BA13" s="44">
        <f t="shared" si="46"/>
        <v>11750.73553</v>
      </c>
      <c r="BB13" s="44">
        <f t="shared" si="46"/>
        <v>38516.693149999999</v>
      </c>
      <c r="BC13" s="44">
        <f t="shared" si="46"/>
        <v>15170.13175</v>
      </c>
      <c r="BD13" s="44">
        <f t="shared" si="46"/>
        <v>72480.792360000007</v>
      </c>
      <c r="BE13" s="44">
        <f t="shared" si="46"/>
        <v>20970.496669999997</v>
      </c>
      <c r="BF13" s="44">
        <f t="shared" si="46"/>
        <v>92940.531329999998</v>
      </c>
      <c r="BG13" s="44">
        <f t="shared" si="46"/>
        <v>30136.017809999998</v>
      </c>
      <c r="BH13" s="44">
        <f t="shared" si="46"/>
        <v>109976.18386</v>
      </c>
      <c r="BI13" s="44">
        <f t="shared" si="46"/>
        <v>40147.740559999998</v>
      </c>
      <c r="BJ13" s="44">
        <f t="shared" si="46"/>
        <v>133858.35436000003</v>
      </c>
      <c r="BK13" s="44">
        <f t="shared" si="46"/>
        <v>63496.498419999996</v>
      </c>
      <c r="BL13" s="44">
        <f t="shared" si="46"/>
        <v>151891.33817999999</v>
      </c>
      <c r="BM13" s="44">
        <f t="shared" si="46"/>
        <v>68201.237639999992</v>
      </c>
      <c r="BN13" s="44">
        <f t="shared" ref="BN13:DY13" si="47">SUM(BN14:BN17)</f>
        <v>168111.66623</v>
      </c>
      <c r="BO13" s="44">
        <f t="shared" si="47"/>
        <v>80614.438640000008</v>
      </c>
      <c r="BP13" s="44">
        <f t="shared" si="47"/>
        <v>185222.50315</v>
      </c>
      <c r="BQ13" s="44">
        <f t="shared" si="47"/>
        <v>88798.136419999995</v>
      </c>
      <c r="BR13" s="44">
        <f t="shared" si="47"/>
        <v>202431.24639999997</v>
      </c>
      <c r="BS13" s="44">
        <f t="shared" si="47"/>
        <v>99869.264420000007</v>
      </c>
      <c r="BT13" s="44">
        <f t="shared" si="47"/>
        <v>219371.2035</v>
      </c>
      <c r="BU13" s="44">
        <f t="shared" si="47"/>
        <v>121797.81581</v>
      </c>
      <c r="BV13" s="44">
        <f t="shared" si="47"/>
        <v>16244.12082</v>
      </c>
      <c r="BW13" s="44">
        <f t="shared" si="47"/>
        <v>12094.194430000001</v>
      </c>
      <c r="BX13" s="44">
        <f t="shared" si="47"/>
        <v>33038.876960000001</v>
      </c>
      <c r="BY13" s="44">
        <f t="shared" si="47"/>
        <v>20865.698179999999</v>
      </c>
      <c r="BZ13" s="44">
        <f t="shared" si="47"/>
        <v>56441.563319999994</v>
      </c>
      <c r="CA13" s="44">
        <f t="shared" si="47"/>
        <v>35463.562290000002</v>
      </c>
      <c r="CB13" s="44">
        <f t="shared" si="47"/>
        <v>93920.360640000014</v>
      </c>
      <c r="CC13" s="44">
        <f t="shared" si="47"/>
        <v>49322.839679999997</v>
      </c>
      <c r="CD13" s="44">
        <f t="shared" si="47"/>
        <v>113873.90745</v>
      </c>
      <c r="CE13" s="44">
        <f t="shared" si="47"/>
        <v>70924.464850000004</v>
      </c>
      <c r="CF13" s="44">
        <f t="shared" si="47"/>
        <v>131499.29803999999</v>
      </c>
      <c r="CG13" s="44">
        <f t="shared" si="47"/>
        <v>108316.44255000001</v>
      </c>
      <c r="CH13" s="44">
        <f t="shared" si="47"/>
        <v>158901.03532</v>
      </c>
      <c r="CI13" s="44">
        <f t="shared" si="47"/>
        <v>137148.46724</v>
      </c>
      <c r="CJ13" s="44">
        <f t="shared" si="47"/>
        <v>177747.69000999999</v>
      </c>
      <c r="CK13" s="44">
        <f t="shared" si="47"/>
        <v>162261.78574999998</v>
      </c>
      <c r="CL13" s="44">
        <f t="shared" si="47"/>
        <v>197358.11611</v>
      </c>
      <c r="CM13" s="44">
        <f t="shared" si="47"/>
        <v>184138.75705000001</v>
      </c>
      <c r="CN13" s="44">
        <f t="shared" si="47"/>
        <v>213943.26452000003</v>
      </c>
      <c r="CO13" s="44">
        <f t="shared" si="47"/>
        <v>216007.0295</v>
      </c>
      <c r="CP13" s="44">
        <f t="shared" si="47"/>
        <v>231251.05240999997</v>
      </c>
      <c r="CQ13" s="44">
        <f t="shared" si="47"/>
        <v>244759.55254999999</v>
      </c>
      <c r="CR13" s="44">
        <f t="shared" si="47"/>
        <v>249794.27066000001</v>
      </c>
      <c r="CS13" s="44">
        <f t="shared" si="47"/>
        <v>280441.32857999997</v>
      </c>
      <c r="CT13" s="44">
        <f t="shared" si="47"/>
        <v>17043.927009999999</v>
      </c>
      <c r="CU13" s="44">
        <f t="shared" si="47"/>
        <v>28353.520919999999</v>
      </c>
      <c r="CV13" s="44">
        <f t="shared" si="47"/>
        <v>36191.401409999999</v>
      </c>
      <c r="CW13" s="44">
        <f t="shared" si="47"/>
        <v>50726.74063</v>
      </c>
      <c r="CX13" s="44">
        <f t="shared" si="47"/>
        <v>53901.793840000006</v>
      </c>
      <c r="CY13" s="44">
        <f t="shared" si="47"/>
        <v>83126.091150000007</v>
      </c>
      <c r="CZ13" s="44">
        <f t="shared" si="47"/>
        <v>108230.18195</v>
      </c>
      <c r="DA13" s="44">
        <f t="shared" si="47"/>
        <v>100574.87543</v>
      </c>
      <c r="DB13" s="44">
        <f t="shared" si="47"/>
        <v>136525.88909000001</v>
      </c>
      <c r="DC13" s="44">
        <f t="shared" si="47"/>
        <v>117202.55712999999</v>
      </c>
      <c r="DD13" s="44">
        <f t="shared" si="47"/>
        <v>158679.63913</v>
      </c>
      <c r="DE13" s="44">
        <f t="shared" si="47"/>
        <v>139513.84530000002</v>
      </c>
      <c r="DF13" s="44">
        <f t="shared" si="47"/>
        <v>193743.15644999998</v>
      </c>
      <c r="DG13" s="44">
        <f t="shared" si="47"/>
        <v>176909.45979000002</v>
      </c>
      <c r="DH13" s="44">
        <f t="shared" si="47"/>
        <v>217530.74867</v>
      </c>
      <c r="DI13" s="44">
        <f t="shared" si="47"/>
        <v>190363.80711999998</v>
      </c>
      <c r="DJ13" s="44">
        <f t="shared" si="47"/>
        <v>237851.25545</v>
      </c>
      <c r="DK13" s="44">
        <f t="shared" si="47"/>
        <v>201996.67898300002</v>
      </c>
      <c r="DL13" s="44">
        <f t="shared" si="47"/>
        <v>262011.25289</v>
      </c>
      <c r="DM13" s="44">
        <f t="shared" si="47"/>
        <v>213069.69831000001</v>
      </c>
      <c r="DN13" s="44">
        <f t="shared" si="47"/>
        <v>290897.15429999999</v>
      </c>
      <c r="DO13" s="44">
        <f t="shared" si="47"/>
        <v>226256.60757299999</v>
      </c>
      <c r="DP13" s="44">
        <f t="shared" si="47"/>
        <v>319601.90811999998</v>
      </c>
      <c r="DQ13" s="45">
        <f t="shared" si="47"/>
        <v>235714.46747</v>
      </c>
      <c r="DR13" s="46">
        <f t="shared" si="47"/>
        <v>25163.185120000002</v>
      </c>
      <c r="DS13" s="47">
        <f t="shared" si="47"/>
        <v>4849.56664</v>
      </c>
      <c r="DT13" s="48">
        <f t="shared" si="47"/>
        <v>51359.557260999994</v>
      </c>
      <c r="DU13" s="45">
        <f t="shared" si="47"/>
        <v>9997.4326899999996</v>
      </c>
      <c r="DV13" s="46">
        <f t="shared" si="47"/>
        <v>88124.612729999993</v>
      </c>
      <c r="DW13" s="47">
        <f t="shared" si="47"/>
        <v>16876.57602</v>
      </c>
      <c r="DX13" s="48">
        <f t="shared" si="47"/>
        <v>146376.30148999998</v>
      </c>
      <c r="DY13" s="45">
        <f t="shared" si="47"/>
        <v>30276.19988</v>
      </c>
      <c r="DZ13" s="46">
        <f t="shared" ref="DZ13:EM13" si="48">SUM(DZ14:DZ17)</f>
        <v>176667.53622000004</v>
      </c>
      <c r="EA13" s="47">
        <f t="shared" si="48"/>
        <v>50798.177510000001</v>
      </c>
      <c r="EB13" s="48">
        <f t="shared" si="48"/>
        <v>205551.48507000002</v>
      </c>
      <c r="EC13" s="45">
        <f t="shared" si="48"/>
        <v>83000.493180000005</v>
      </c>
      <c r="ED13" s="46">
        <f t="shared" si="48"/>
        <v>249015.09822000004</v>
      </c>
      <c r="EE13" s="47">
        <f t="shared" si="48"/>
        <v>132212.36051000003</v>
      </c>
      <c r="EF13" s="46">
        <f t="shared" si="48"/>
        <v>282787.05064999999</v>
      </c>
      <c r="EG13" s="49">
        <f t="shared" si="48"/>
        <v>157361.56406</v>
      </c>
      <c r="EH13" s="45">
        <f t="shared" si="48"/>
        <v>316057.44425</v>
      </c>
      <c r="EI13" s="47">
        <f t="shared" si="48"/>
        <v>175935.46615000002</v>
      </c>
      <c r="EJ13" s="45">
        <f t="shared" si="48"/>
        <v>351438.26105000003</v>
      </c>
      <c r="EK13" s="47">
        <f t="shared" si="48"/>
        <v>199607.13692000005</v>
      </c>
      <c r="EL13" s="46">
        <f t="shared" si="48"/>
        <v>385845.50131999998</v>
      </c>
      <c r="EM13" s="49">
        <f t="shared" si="48"/>
        <v>228054.88599000001</v>
      </c>
      <c r="EN13" s="46">
        <f t="shared" ref="EN13:EO13" si="49">SUM(EN14:EN17)</f>
        <v>425088.99625999999</v>
      </c>
      <c r="EO13" s="49">
        <f t="shared" si="49"/>
        <v>244706.29159000001</v>
      </c>
      <c r="EP13" s="46">
        <f t="shared" ref="EP13:EQ13" si="50">SUM(EP14:EP17)</f>
        <v>34315.280610000002</v>
      </c>
      <c r="EQ13" s="49">
        <f t="shared" si="50"/>
        <v>19673.205310000001</v>
      </c>
      <c r="ER13" s="46">
        <f t="shared" ref="ER13:ES13" si="51">SUM(ER14:ER17)</f>
        <v>69634.47920999999</v>
      </c>
      <c r="ES13" s="49">
        <f t="shared" si="51"/>
        <v>37517.202740000001</v>
      </c>
      <c r="ET13" s="46">
        <f t="shared" ref="ET13:EU13" si="52">SUM(ET14:ET17)</f>
        <v>131378.01579999999</v>
      </c>
      <c r="EU13" s="49">
        <f t="shared" si="52"/>
        <v>55164.641260000004</v>
      </c>
      <c r="EV13" s="46">
        <f t="shared" ref="EV13:EW13" si="53">SUM(EV14:EV17)</f>
        <v>205490.01342</v>
      </c>
      <c r="EW13" s="49">
        <f t="shared" si="53"/>
        <v>71538.630379999988</v>
      </c>
      <c r="EX13" s="46">
        <f t="shared" ref="EX13:EY13" si="54">SUM(EX14:EX17)</f>
        <v>251889.83469000002</v>
      </c>
      <c r="EY13" s="49">
        <f t="shared" si="54"/>
        <v>93926.485539999994</v>
      </c>
      <c r="EZ13" s="46">
        <f t="shared" ref="EZ13:FA13" si="55">SUM(EZ14:EZ17)</f>
        <v>288782.57694</v>
      </c>
      <c r="FA13" s="49">
        <f t="shared" si="55"/>
        <v>127278.47427000001</v>
      </c>
      <c r="FB13" s="46">
        <f t="shared" ref="FB13:FC13" si="56">SUM(FB14:FB17)</f>
        <v>338307.00809000002</v>
      </c>
      <c r="FC13" s="49">
        <f t="shared" si="56"/>
        <v>166259.42191000003</v>
      </c>
      <c r="FD13" s="46">
        <f t="shared" ref="FD13:FE13" si="57">SUM(FD14:FD17)</f>
        <v>377360.95846000005</v>
      </c>
      <c r="FE13" s="49">
        <f t="shared" si="57"/>
        <v>194491.45972999997</v>
      </c>
      <c r="FF13" s="46">
        <f t="shared" ref="FF13:FG13" si="58">SUM(FF14:FF17)</f>
        <v>420845.34465000004</v>
      </c>
      <c r="FG13" s="49">
        <f t="shared" si="58"/>
        <v>220636.73561999999</v>
      </c>
      <c r="FH13" s="46">
        <f t="shared" ref="FH13:FI13" si="59">SUM(FH14:FH17)</f>
        <v>459506.82767000003</v>
      </c>
      <c r="FI13" s="49">
        <f t="shared" si="59"/>
        <v>251730.98883999998</v>
      </c>
      <c r="FJ13" s="46">
        <f>SUM(FJ14:FJ17)</f>
        <v>498718.58751999994</v>
      </c>
      <c r="FK13" s="49">
        <f t="shared" ref="FK13:FM13" si="60">SUM(FK14:FK17)</f>
        <v>271629.81005999993</v>
      </c>
      <c r="FL13" s="46">
        <f>SUM(FL14:FL17)</f>
        <v>545203.24265999999</v>
      </c>
      <c r="FM13" s="49">
        <f t="shared" si="60"/>
        <v>294793.39156999998</v>
      </c>
      <c r="FN13" s="46">
        <f>SUM(FN14:FN17)</f>
        <v>40171.874629999998</v>
      </c>
      <c r="FO13" s="49">
        <f t="shared" ref="FO13:FQ13" si="61">SUM(FO14:FO17)</f>
        <v>21558.633820000003</v>
      </c>
      <c r="FP13" s="46">
        <f>SUM(FP14:FP17)</f>
        <v>87075.295689999984</v>
      </c>
      <c r="FQ13" s="49">
        <f t="shared" si="61"/>
        <v>60046.170680000003</v>
      </c>
      <c r="FR13" s="46">
        <f>SUM(FR14:FR17)</f>
        <v>155320.39272</v>
      </c>
      <c r="FS13" s="49">
        <f t="shared" ref="FS13:FU13" si="62">SUM(FS14:FS17)</f>
        <v>96417.088799999983</v>
      </c>
      <c r="FT13" s="46">
        <f>SUM(FT14:FT17)</f>
        <v>269821.14561999997</v>
      </c>
      <c r="FU13" s="49">
        <f t="shared" si="62"/>
        <v>127993.32618999999</v>
      </c>
      <c r="FV13" s="46">
        <f>SUM(FV14:FV17)</f>
        <v>316920.49345000001</v>
      </c>
      <c r="FW13" s="49">
        <f t="shared" ref="FW13:FY13" si="63">SUM(FW14:FW17)</f>
        <v>168883.52479999998</v>
      </c>
      <c r="FX13" s="46">
        <f>SUM(FX14:FX17)</f>
        <v>357728.20947999996</v>
      </c>
      <c r="FY13" s="49">
        <f t="shared" si="63"/>
        <v>233093.48538</v>
      </c>
      <c r="FZ13" s="46">
        <f>SUM(FZ14:FZ17)</f>
        <v>400448.31352999998</v>
      </c>
      <c r="GA13" s="49">
        <f>SUM(GA14:GA17)</f>
        <v>293517.30962000001</v>
      </c>
      <c r="GB13" s="46">
        <f>SUM(GB14:GB17)</f>
        <v>442430.10093000002</v>
      </c>
      <c r="GC13" s="49">
        <f t="shared" ref="GC13:GG13" si="64">SUM(GC14:GC17)</f>
        <v>330806.51192999998</v>
      </c>
      <c r="GD13" s="46">
        <f>SUM(GD14:GD17)</f>
        <v>495225.93165999994</v>
      </c>
      <c r="GE13" s="49">
        <f t="shared" ref="GE13" si="65">SUM(GE14:GE17)</f>
        <v>359912.9804</v>
      </c>
      <c r="GF13" s="46">
        <f>SUM(GF14:GF17)</f>
        <v>540142.82301999989</v>
      </c>
      <c r="GG13" s="49">
        <f t="shared" si="64"/>
        <v>402902.99412999995</v>
      </c>
      <c r="GH13" s="46">
        <f>SUM(GH14:GH17)</f>
        <v>587536.52667999989</v>
      </c>
      <c r="GI13" s="49">
        <f t="shared" ref="GI13:GK13" si="66">SUM(GI14:GI17)</f>
        <v>446502.91918999999</v>
      </c>
      <c r="GJ13" s="46">
        <f>SUM(GJ14:GJ17)</f>
        <v>643840.87369000004</v>
      </c>
      <c r="GK13" s="49">
        <f t="shared" si="66"/>
        <v>477471.35200999997</v>
      </c>
      <c r="GL13" s="46">
        <f>SUM(GL14:GL17)</f>
        <v>55615.270349999999</v>
      </c>
      <c r="GM13" s="49">
        <f t="shared" ref="GM13" si="67">SUM(GM14:GM17)</f>
        <v>29087.635650000004</v>
      </c>
      <c r="GN13" s="46">
        <f>SUM(GN14:GN17)</f>
        <v>110089.5189</v>
      </c>
      <c r="GO13" s="49">
        <f t="shared" ref="GO13:GQ13" si="68">SUM(GO14:GO17)</f>
        <v>69793.818839999993</v>
      </c>
      <c r="GP13" s="46">
        <f>SUM(GP14:GP17)</f>
        <v>178119.65279000002</v>
      </c>
      <c r="GQ13" s="49">
        <f t="shared" si="68"/>
        <v>108495.23371999999</v>
      </c>
      <c r="GR13" s="46">
        <f>SUM(GR14:GR17)</f>
        <v>300476.78065999999</v>
      </c>
      <c r="GS13" s="49">
        <f t="shared" ref="GS13:GU13" si="69">SUM(GS14:GS17)</f>
        <v>146718.97122000001</v>
      </c>
      <c r="GT13" s="46">
        <f>SUM(GT14:GT17)</f>
        <v>370546.09347000002</v>
      </c>
      <c r="GU13" s="49">
        <f t="shared" si="69"/>
        <v>203082.18197999999</v>
      </c>
      <c r="GV13" s="46">
        <f>SUM(GV14:GV17)</f>
        <v>421844.76879</v>
      </c>
      <c r="GW13" s="49">
        <f t="shared" ref="GW13:GY13" si="70">SUM(GW14:GW17)</f>
        <v>300619.12190000003</v>
      </c>
      <c r="GX13" s="46">
        <f>SUM(GX14:GX17)</f>
        <v>472198.71551000007</v>
      </c>
      <c r="GY13" s="49">
        <f t="shared" si="70"/>
        <v>372666.73219999997</v>
      </c>
      <c r="GZ13" s="46">
        <f>SUM(GZ14:GZ17)</f>
        <v>526765.92874</v>
      </c>
      <c r="HA13" s="49">
        <f t="shared" ref="HA13:HC13" si="71">SUM(HA14:HA17)</f>
        <v>423585.74197999999</v>
      </c>
      <c r="HB13" s="46">
        <f>SUM(HB14:HB17)</f>
        <v>583626.15133999987</v>
      </c>
      <c r="HC13" s="49">
        <f t="shared" si="71"/>
        <v>480431.69945999997</v>
      </c>
      <c r="HD13" s="46">
        <f>SUM(HD14:HD17)</f>
        <v>632088.94892999995</v>
      </c>
      <c r="HE13" s="49">
        <f t="shared" ref="HE13:HG13" si="72">SUM(HE14:HE17)</f>
        <v>541882.52124999999</v>
      </c>
      <c r="HF13" s="46">
        <f>SUM(HF14:HF17)</f>
        <v>683239.03062000009</v>
      </c>
      <c r="HG13" s="49">
        <f t="shared" si="72"/>
        <v>590147.18084000004</v>
      </c>
      <c r="HH13" s="46">
        <f>SUM(HH14:HH17)</f>
        <v>751490.8367499999</v>
      </c>
      <c r="HI13" s="49">
        <f t="shared" ref="HI13:HK13" si="73">SUM(HI14:HI17)</f>
        <v>636978.90409999993</v>
      </c>
      <c r="HJ13" s="46">
        <f>SUM(HJ14:HJ17)</f>
        <v>57721.221740000001</v>
      </c>
      <c r="HK13" s="49">
        <f t="shared" si="73"/>
        <v>40667.870499999997</v>
      </c>
      <c r="HL13" s="46">
        <f>SUM(HL14:HL17)</f>
        <v>118307.93601999999</v>
      </c>
      <c r="HM13" s="49">
        <f t="shared" ref="HM13:HO13" si="74">SUM(HM14:HM17)</f>
        <v>100751.17457999999</v>
      </c>
      <c r="HN13" s="46">
        <f>SUM(HN14:HN17)</f>
        <v>210391.98126</v>
      </c>
      <c r="HO13" s="49">
        <f t="shared" si="74"/>
        <v>151717.08246999999</v>
      </c>
      <c r="HP13" s="46">
        <f>SUM(HP14:HP17)</f>
        <v>348739.03157000005</v>
      </c>
      <c r="HQ13" s="49">
        <f t="shared" ref="HQ13:HS13" si="75">SUM(HQ14:HQ17)</f>
        <v>206061.41429000004</v>
      </c>
      <c r="HR13" s="46">
        <f>SUM(HR14:HR17)</f>
        <v>421936.59599999996</v>
      </c>
      <c r="HS13" s="49">
        <f t="shared" si="75"/>
        <v>286981.09982000006</v>
      </c>
      <c r="HT13" s="46">
        <f>SUM(HT14:HT17)</f>
        <v>482633.73203000001</v>
      </c>
      <c r="HU13" s="49">
        <f t="shared" ref="HU13:HW13" si="76">SUM(HU14:HU17)</f>
        <v>400561.94247999991</v>
      </c>
      <c r="HV13" s="46">
        <f>SUM(HV14:HV17)</f>
        <v>542150.21218999999</v>
      </c>
      <c r="HW13" s="49">
        <f t="shared" si="76"/>
        <v>493720.54047999997</v>
      </c>
      <c r="HX13" s="46">
        <f>SUM(HX14:HX17)</f>
        <v>597276.43544999999</v>
      </c>
      <c r="HY13" s="49">
        <f t="shared" ref="HY13:IA13" si="77">SUM(HY14:HY17)</f>
        <v>565569.88587999996</v>
      </c>
      <c r="HZ13" s="46">
        <f>SUM(HZ14:HZ17)</f>
        <v>657794.02095999999</v>
      </c>
      <c r="IA13" s="49">
        <f t="shared" si="77"/>
        <v>647610.2384400001</v>
      </c>
      <c r="IB13" s="14" t="s">
        <v>35</v>
      </c>
    </row>
    <row r="14" spans="1:306" s="9" customFormat="1" ht="22.5" customHeight="1" x14ac:dyDescent="0.4">
      <c r="A14" s="15" t="s">
        <v>36</v>
      </c>
      <c r="B14" s="50">
        <v>4736.3493099999996</v>
      </c>
      <c r="C14" s="50">
        <v>16928.319920000002</v>
      </c>
      <c r="D14" s="50">
        <v>11958.133539999999</v>
      </c>
      <c r="E14" s="50">
        <v>25125.388199999998</v>
      </c>
      <c r="F14" s="50">
        <v>28950.939150000002</v>
      </c>
      <c r="G14" s="50">
        <v>30321.270219999999</v>
      </c>
      <c r="H14" s="50">
        <v>46938.428009999996</v>
      </c>
      <c r="I14" s="50">
        <v>36680.167540000002</v>
      </c>
      <c r="J14" s="50">
        <v>64205.200360000003</v>
      </c>
      <c r="K14" s="50">
        <v>46504.131130000002</v>
      </c>
      <c r="L14" s="50">
        <v>71822.30915999999</v>
      </c>
      <c r="M14" s="50">
        <v>59720.06366</v>
      </c>
      <c r="N14" s="50">
        <v>79771.370800000004</v>
      </c>
      <c r="O14" s="50">
        <v>67865.264840000003</v>
      </c>
      <c r="P14" s="50">
        <v>89397.963390000004</v>
      </c>
      <c r="Q14" s="50">
        <v>75518.201029999997</v>
      </c>
      <c r="R14" s="50">
        <v>98672.867670000007</v>
      </c>
      <c r="S14" s="50">
        <v>87197.060689999998</v>
      </c>
      <c r="T14" s="50">
        <v>108588.61331999999</v>
      </c>
      <c r="U14" s="50">
        <v>91552.766940000001</v>
      </c>
      <c r="V14" s="50">
        <v>121145.33721</v>
      </c>
      <c r="W14" s="50">
        <v>108337.81808</v>
      </c>
      <c r="X14" s="50">
        <v>137927.65808000002</v>
      </c>
      <c r="Y14" s="50">
        <v>124045.57663</v>
      </c>
      <c r="Z14" s="50">
        <v>12622.55184</v>
      </c>
      <c r="AA14" s="50">
        <v>10944.42827</v>
      </c>
      <c r="AB14" s="50">
        <v>27785.358130000001</v>
      </c>
      <c r="AC14" s="50">
        <v>16461.902109999999</v>
      </c>
      <c r="AD14" s="50">
        <v>50012.285530000001</v>
      </c>
      <c r="AE14" s="50">
        <v>26430.17283</v>
      </c>
      <c r="AF14" s="50">
        <v>96707.759330000001</v>
      </c>
      <c r="AG14" s="50">
        <v>30290.540780000003</v>
      </c>
      <c r="AH14" s="50">
        <v>113315.13400000001</v>
      </c>
      <c r="AI14" s="50">
        <v>36744.186679999999</v>
      </c>
      <c r="AJ14" s="50">
        <v>130959.08487000001</v>
      </c>
      <c r="AK14" s="50">
        <v>48186.267220000002</v>
      </c>
      <c r="AL14" s="50">
        <v>152882.45362000001</v>
      </c>
      <c r="AM14" s="50">
        <v>61798.108999999997</v>
      </c>
      <c r="AN14" s="50">
        <v>174619.54207</v>
      </c>
      <c r="AO14" s="50">
        <v>72477.688180000012</v>
      </c>
      <c r="AP14" s="50">
        <v>194168.79657000001</v>
      </c>
      <c r="AQ14" s="50">
        <v>79325.821450000003</v>
      </c>
      <c r="AR14" s="50">
        <v>211779.19243</v>
      </c>
      <c r="AS14" s="50">
        <v>85153.934880000001</v>
      </c>
      <c r="AT14" s="50">
        <v>231565.42068000001</v>
      </c>
      <c r="AU14" s="50">
        <v>89294.794769999993</v>
      </c>
      <c r="AV14" s="50">
        <v>253943.49268</v>
      </c>
      <c r="AW14" s="50">
        <v>93366.017919999998</v>
      </c>
      <c r="AX14" s="50">
        <v>8363.5464100000008</v>
      </c>
      <c r="AY14" s="50">
        <v>7339.1547</v>
      </c>
      <c r="AZ14" s="50">
        <v>18201.75981</v>
      </c>
      <c r="BA14" s="50">
        <v>11203.240019999999</v>
      </c>
      <c r="BB14" s="50">
        <v>29055.112639999999</v>
      </c>
      <c r="BC14" s="50">
        <v>14544.900750000001</v>
      </c>
      <c r="BD14" s="50">
        <v>59050.441460000002</v>
      </c>
      <c r="BE14" s="50">
        <v>20536.727159999999</v>
      </c>
      <c r="BF14" s="50">
        <v>73035.545939999996</v>
      </c>
      <c r="BG14" s="50">
        <v>29619.191489999997</v>
      </c>
      <c r="BH14" s="50">
        <v>85055.739629999996</v>
      </c>
      <c r="BI14" s="50">
        <v>39598.587229999997</v>
      </c>
      <c r="BJ14" s="50">
        <v>102436.68676000001</v>
      </c>
      <c r="BK14" s="50">
        <v>62834.111109999998</v>
      </c>
      <c r="BL14" s="50">
        <v>115247.49</v>
      </c>
      <c r="BM14" s="50">
        <v>67438.886729999998</v>
      </c>
      <c r="BN14" s="50">
        <v>126807.99256</v>
      </c>
      <c r="BO14" s="50">
        <v>79726.48414</v>
      </c>
      <c r="BP14" s="50">
        <v>138629.07303</v>
      </c>
      <c r="BQ14" s="50">
        <v>87792.779459999991</v>
      </c>
      <c r="BR14" s="50">
        <v>151805.63657</v>
      </c>
      <c r="BS14" s="50">
        <v>98706.257530000003</v>
      </c>
      <c r="BT14" s="50">
        <v>166110.06164</v>
      </c>
      <c r="BU14" s="50">
        <v>120547.88182</v>
      </c>
      <c r="BV14" s="50">
        <v>13288.3712</v>
      </c>
      <c r="BW14" s="50">
        <v>11928.218510000001</v>
      </c>
      <c r="BX14" s="50">
        <v>26261.35888</v>
      </c>
      <c r="BY14" s="50">
        <v>20638.588739999999</v>
      </c>
      <c r="BZ14" s="50">
        <v>45688.413209999999</v>
      </c>
      <c r="CA14" s="50">
        <v>35155.503060000003</v>
      </c>
      <c r="CB14" s="50">
        <v>81418.233560000008</v>
      </c>
      <c r="CC14" s="50">
        <v>48884.602559999999</v>
      </c>
      <c r="CD14" s="50">
        <v>98446.82104000001</v>
      </c>
      <c r="CE14" s="50">
        <v>70402.350330000001</v>
      </c>
      <c r="CF14" s="50">
        <v>112074.77670999999</v>
      </c>
      <c r="CG14" s="50">
        <v>107766.48793</v>
      </c>
      <c r="CH14" s="50">
        <v>135363.68865999999</v>
      </c>
      <c r="CI14" s="50">
        <v>136519.50167</v>
      </c>
      <c r="CJ14" s="50">
        <v>148732.27309999999</v>
      </c>
      <c r="CK14" s="50">
        <v>161425.45971999998</v>
      </c>
      <c r="CL14" s="50">
        <v>163038.73256999999</v>
      </c>
      <c r="CM14" s="50">
        <v>183224.44578000001</v>
      </c>
      <c r="CN14" s="50">
        <v>176260.32143000001</v>
      </c>
      <c r="CO14" s="50">
        <v>214765.58489</v>
      </c>
      <c r="CP14" s="50">
        <v>190514.75003</v>
      </c>
      <c r="CQ14" s="50">
        <v>243321.67403999998</v>
      </c>
      <c r="CR14" s="50">
        <v>205341.73295999999</v>
      </c>
      <c r="CS14" s="50">
        <v>275661.67956999998</v>
      </c>
      <c r="CT14" s="50">
        <v>14084.066490000001</v>
      </c>
      <c r="CU14" s="50">
        <v>27952.651180000001</v>
      </c>
      <c r="CV14" s="50">
        <v>29279.31652</v>
      </c>
      <c r="CW14" s="50">
        <v>50057.222549999999</v>
      </c>
      <c r="CX14" s="50">
        <v>45488.415789999999</v>
      </c>
      <c r="CY14" s="50">
        <v>82117.512300000002</v>
      </c>
      <c r="CZ14" s="50">
        <v>98463.482459999999</v>
      </c>
      <c r="DA14" s="50">
        <v>99153.496849999996</v>
      </c>
      <c r="DB14" s="50">
        <v>122966.94887000001</v>
      </c>
      <c r="DC14" s="50">
        <v>115586.59659999999</v>
      </c>
      <c r="DD14" s="50">
        <v>140623.30124999999</v>
      </c>
      <c r="DE14" s="50">
        <v>137731.69127000001</v>
      </c>
      <c r="DF14" s="50">
        <v>170081.05780000001</v>
      </c>
      <c r="DG14" s="50">
        <v>174848.79852000001</v>
      </c>
      <c r="DH14" s="50">
        <v>188301.04778999998</v>
      </c>
      <c r="DI14" s="50">
        <v>188154.20841999998</v>
      </c>
      <c r="DJ14" s="50">
        <v>203224.95926999999</v>
      </c>
      <c r="DK14" s="50">
        <v>199365.95803000001</v>
      </c>
      <c r="DL14" s="50">
        <v>223122.86571000001</v>
      </c>
      <c r="DM14" s="50">
        <v>210024.69683</v>
      </c>
      <c r="DN14" s="50">
        <v>247914.69662999999</v>
      </c>
      <c r="DO14" s="50">
        <v>222901.69448999999</v>
      </c>
      <c r="DP14" s="50">
        <v>272925.43375999999</v>
      </c>
      <c r="DQ14" s="51">
        <v>231719.42752</v>
      </c>
      <c r="DR14" s="52">
        <v>22694.463250000001</v>
      </c>
      <c r="DS14" s="53">
        <v>4581.2482</v>
      </c>
      <c r="DT14" s="54">
        <v>46183.665850999998</v>
      </c>
      <c r="DU14" s="51">
        <v>9354.3396499999999</v>
      </c>
      <c r="DV14" s="52">
        <v>80697.018909999999</v>
      </c>
      <c r="DW14" s="53">
        <v>15984.46787</v>
      </c>
      <c r="DX14" s="54">
        <v>136694.31099999999</v>
      </c>
      <c r="DY14" s="51">
        <v>29132.5942</v>
      </c>
      <c r="DZ14" s="52">
        <v>164810.07902</v>
      </c>
      <c r="EA14" s="53">
        <v>49286.59779</v>
      </c>
      <c r="EB14" s="54">
        <v>191585.12546000001</v>
      </c>
      <c r="EC14" s="51">
        <v>81272.692620000002</v>
      </c>
      <c r="ED14" s="52">
        <v>232489.70808000001</v>
      </c>
      <c r="EE14" s="53">
        <v>130339.94904000001</v>
      </c>
      <c r="EF14" s="52">
        <v>263969.87141000002</v>
      </c>
      <c r="EG14" s="55">
        <v>155445.63659000001</v>
      </c>
      <c r="EH14" s="54">
        <v>294363.24794999999</v>
      </c>
      <c r="EI14" s="53">
        <v>173867.73756000001</v>
      </c>
      <c r="EJ14" s="54">
        <v>327112.10810000001</v>
      </c>
      <c r="EK14" s="53">
        <v>197402.21475000001</v>
      </c>
      <c r="EL14" s="52">
        <v>359275.30101</v>
      </c>
      <c r="EM14" s="55">
        <v>225664.29461000001</v>
      </c>
      <c r="EN14" s="52">
        <v>396687.22957999998</v>
      </c>
      <c r="EO14" s="55">
        <v>242078.27742999999</v>
      </c>
      <c r="EP14" s="52">
        <v>32304.249769999999</v>
      </c>
      <c r="EQ14" s="55">
        <v>19572.746070000001</v>
      </c>
      <c r="ER14" s="52">
        <v>64933.868179999998</v>
      </c>
      <c r="ES14" s="55">
        <v>37348.930329999996</v>
      </c>
      <c r="ET14" s="52">
        <v>123830.84278000001</v>
      </c>
      <c r="EU14" s="55">
        <v>54775.079149999998</v>
      </c>
      <c r="EV14" s="52">
        <v>195412.91213000001</v>
      </c>
      <c r="EW14" s="55">
        <v>71061.596839999998</v>
      </c>
      <c r="EX14" s="52">
        <v>239257.12502000001</v>
      </c>
      <c r="EY14" s="55">
        <v>93329.346150000012</v>
      </c>
      <c r="EZ14" s="52">
        <v>273665.49536</v>
      </c>
      <c r="FA14" s="55">
        <v>126512.71794</v>
      </c>
      <c r="FB14" s="52">
        <v>319563.03944000002</v>
      </c>
      <c r="FC14" s="55">
        <v>165433.55033000003</v>
      </c>
      <c r="FD14" s="52">
        <v>355739.04421000002</v>
      </c>
      <c r="FE14" s="55">
        <v>193407.91370999999</v>
      </c>
      <c r="FF14" s="52">
        <v>389781.2182</v>
      </c>
      <c r="FG14" s="55">
        <v>219342.72477999999</v>
      </c>
      <c r="FH14" s="52">
        <v>425081.49995000003</v>
      </c>
      <c r="FI14" s="55">
        <v>249929.91248999999</v>
      </c>
      <c r="FJ14" s="52">
        <v>461383.13682999997</v>
      </c>
      <c r="FK14" s="55">
        <v>269542.59318999999</v>
      </c>
      <c r="FL14" s="52">
        <v>504992.69643000001</v>
      </c>
      <c r="FM14" s="55">
        <v>292552.02318000002</v>
      </c>
      <c r="FN14" s="52">
        <v>37870.656510000001</v>
      </c>
      <c r="FO14" s="55">
        <v>21317.333920000001</v>
      </c>
      <c r="FP14" s="52">
        <v>80429.659349999987</v>
      </c>
      <c r="FQ14" s="55">
        <v>59617.741200000004</v>
      </c>
      <c r="FR14" s="52">
        <v>145030.82115</v>
      </c>
      <c r="FS14" s="55">
        <v>95666.290259999994</v>
      </c>
      <c r="FT14" s="52">
        <v>255140.5269</v>
      </c>
      <c r="FU14" s="55">
        <v>127066.13561</v>
      </c>
      <c r="FV14" s="52">
        <v>299128.04965</v>
      </c>
      <c r="FW14" s="55">
        <v>167864.66412</v>
      </c>
      <c r="FX14" s="52">
        <v>337898.54634</v>
      </c>
      <c r="FY14" s="55">
        <v>231754.58392999999</v>
      </c>
      <c r="FZ14" s="52">
        <v>378119.16833000001</v>
      </c>
      <c r="GA14" s="55">
        <v>291983.88309000002</v>
      </c>
      <c r="GB14" s="52">
        <v>417506.15091000003</v>
      </c>
      <c r="GC14" s="55">
        <v>329005.93047000002</v>
      </c>
      <c r="GD14" s="52">
        <v>460998.62855999998</v>
      </c>
      <c r="GE14" s="55">
        <v>357663.78909999999</v>
      </c>
      <c r="GF14" s="52">
        <v>501232.33928999997</v>
      </c>
      <c r="GG14" s="55">
        <v>400077.18715999997</v>
      </c>
      <c r="GH14" s="52">
        <v>545606.50850999996</v>
      </c>
      <c r="GI14" s="55">
        <v>443469.54765000002</v>
      </c>
      <c r="GJ14" s="52">
        <v>599197.31625999999</v>
      </c>
      <c r="GK14" s="55">
        <v>474154.56787000003</v>
      </c>
      <c r="GL14" s="52">
        <v>52700.822240000001</v>
      </c>
      <c r="GM14" s="55">
        <v>28935.658640000001</v>
      </c>
      <c r="GN14" s="52">
        <v>103640.1571</v>
      </c>
      <c r="GO14" s="55">
        <v>68921.743950000004</v>
      </c>
      <c r="GP14" s="52">
        <v>168454.65808000002</v>
      </c>
      <c r="GQ14" s="55">
        <v>107372.06598999999</v>
      </c>
      <c r="GR14" s="52">
        <v>287042.83237999998</v>
      </c>
      <c r="GS14" s="55">
        <v>145127.16456</v>
      </c>
      <c r="GT14" s="52">
        <v>353384.83325999998</v>
      </c>
      <c r="GU14" s="55">
        <v>201005.09518999999</v>
      </c>
      <c r="GV14" s="52">
        <v>401418.35551000002</v>
      </c>
      <c r="GW14" s="55">
        <v>298085.51525</v>
      </c>
      <c r="GX14" s="52">
        <v>447607.97248</v>
      </c>
      <c r="GY14" s="55">
        <v>369570.29295999999</v>
      </c>
      <c r="GZ14" s="52">
        <v>498528.37280999997</v>
      </c>
      <c r="HA14" s="55">
        <v>419914.24712000001</v>
      </c>
      <c r="HB14" s="52">
        <v>545395.93545999995</v>
      </c>
      <c r="HC14" s="55">
        <v>476305.84438000002</v>
      </c>
      <c r="HD14" s="52">
        <v>589494.29656000005</v>
      </c>
      <c r="HE14" s="55">
        <v>537414.67908000003</v>
      </c>
      <c r="HF14" s="52">
        <v>636877.26815000002</v>
      </c>
      <c r="HG14" s="55">
        <v>585085.80893000006</v>
      </c>
      <c r="HH14" s="52">
        <v>701002.84878999996</v>
      </c>
      <c r="HI14" s="55">
        <v>631554.19990999997</v>
      </c>
      <c r="HJ14" s="52">
        <v>53793.078849999998</v>
      </c>
      <c r="HK14" s="55">
        <v>40047.833839999999</v>
      </c>
      <c r="HL14" s="52">
        <v>109891.84249</v>
      </c>
      <c r="HM14" s="55">
        <v>99671.994059999997</v>
      </c>
      <c r="HN14" s="52">
        <v>197539.0601</v>
      </c>
      <c r="HO14" s="55">
        <v>150287.96716999999</v>
      </c>
      <c r="HP14" s="52">
        <v>330751.94646000001</v>
      </c>
      <c r="HQ14" s="55">
        <v>204174.61657000001</v>
      </c>
      <c r="HR14" s="52">
        <v>399298.94565000001</v>
      </c>
      <c r="HS14" s="55">
        <v>284708.29311000003</v>
      </c>
      <c r="HT14" s="52">
        <v>455722.19033000001</v>
      </c>
      <c r="HU14" s="55">
        <v>397453.40749999997</v>
      </c>
      <c r="HV14" s="52">
        <v>510170.35000999999</v>
      </c>
      <c r="HW14" s="55">
        <v>490346.58714000002</v>
      </c>
      <c r="HX14" s="52">
        <v>559511.9889</v>
      </c>
      <c r="HY14" s="55">
        <v>561646.60655999999</v>
      </c>
      <c r="HZ14" s="52">
        <v>613781.33603000001</v>
      </c>
      <c r="IA14" s="55">
        <v>643374.10190000001</v>
      </c>
      <c r="IB14" s="16" t="s">
        <v>37</v>
      </c>
      <c r="ID14" s="82"/>
      <c r="IE14" s="82"/>
    </row>
    <row r="15" spans="1:306" s="9" customFormat="1" ht="22.5" customHeight="1" x14ac:dyDescent="0.4">
      <c r="A15" s="15" t="s">
        <v>38</v>
      </c>
      <c r="B15" s="50">
        <v>1544.3743300000001</v>
      </c>
      <c r="C15" s="50">
        <v>237.98935</v>
      </c>
      <c r="D15" s="50">
        <v>3039.3586600000003</v>
      </c>
      <c r="E15" s="50">
        <v>474.46636000000001</v>
      </c>
      <c r="F15" s="50">
        <v>4981.7330200000006</v>
      </c>
      <c r="G15" s="50">
        <v>677.31368000000009</v>
      </c>
      <c r="H15" s="50">
        <v>7075.6160799999998</v>
      </c>
      <c r="I15" s="50">
        <v>941.01624000000004</v>
      </c>
      <c r="J15" s="50">
        <v>9636.446539999999</v>
      </c>
      <c r="K15" s="50">
        <v>1132.1916899999999</v>
      </c>
      <c r="L15" s="50">
        <v>12275.39293</v>
      </c>
      <c r="M15" s="50">
        <v>1282.9238</v>
      </c>
      <c r="N15" s="50">
        <v>15830.84562</v>
      </c>
      <c r="O15" s="50">
        <v>1462.9217100000001</v>
      </c>
      <c r="P15" s="50">
        <v>20513.949059999999</v>
      </c>
      <c r="Q15" s="50">
        <v>1732.1020800000001</v>
      </c>
      <c r="R15" s="50">
        <v>24095.737430000001</v>
      </c>
      <c r="S15" s="50">
        <v>1845.0328</v>
      </c>
      <c r="T15" s="50">
        <v>27849.590489999999</v>
      </c>
      <c r="U15" s="50">
        <v>2074.7118100000002</v>
      </c>
      <c r="V15" s="50">
        <v>32490.409469999999</v>
      </c>
      <c r="W15" s="50">
        <v>2215.3280299999997</v>
      </c>
      <c r="X15" s="50">
        <v>37942.389490000001</v>
      </c>
      <c r="Y15" s="50">
        <v>2351.4934700000003</v>
      </c>
      <c r="Z15" s="50">
        <v>3921.31585</v>
      </c>
      <c r="AA15" s="50">
        <v>51.045699999999997</v>
      </c>
      <c r="AB15" s="50">
        <v>8083.0420700000004</v>
      </c>
      <c r="AC15" s="50">
        <v>148.28790000000001</v>
      </c>
      <c r="AD15" s="50">
        <v>12746.14205</v>
      </c>
      <c r="AE15" s="50">
        <v>281.60334999999998</v>
      </c>
      <c r="AF15" s="50">
        <v>17982.851340000001</v>
      </c>
      <c r="AG15" s="50">
        <v>522.90284999999994</v>
      </c>
      <c r="AH15" s="50">
        <v>23382.388300000002</v>
      </c>
      <c r="AI15" s="50">
        <v>612.19260999999995</v>
      </c>
      <c r="AJ15" s="50">
        <v>26295.865180000001</v>
      </c>
      <c r="AK15" s="50">
        <v>729.48403000000008</v>
      </c>
      <c r="AL15" s="50">
        <v>30306.174640000001</v>
      </c>
      <c r="AM15" s="50">
        <v>845.28152999999998</v>
      </c>
      <c r="AN15" s="50">
        <v>34740.928700000004</v>
      </c>
      <c r="AO15" s="50">
        <v>1104.1882900000001</v>
      </c>
      <c r="AP15" s="50">
        <v>37960.107880000003</v>
      </c>
      <c r="AQ15" s="50">
        <v>1217.1577</v>
      </c>
      <c r="AR15" s="50">
        <v>41424.811900000001</v>
      </c>
      <c r="AS15" s="50">
        <v>1390.2963999999999</v>
      </c>
      <c r="AT15" s="50">
        <v>44494.338409999997</v>
      </c>
      <c r="AU15" s="50">
        <v>1562.4980800000001</v>
      </c>
      <c r="AV15" s="50">
        <v>48090.492530000003</v>
      </c>
      <c r="AW15" s="50">
        <v>1612.9013</v>
      </c>
      <c r="AX15" s="50">
        <v>2925.8253999999997</v>
      </c>
      <c r="AY15" s="50">
        <v>102.87259</v>
      </c>
      <c r="AZ15" s="50">
        <v>6048.7129100000002</v>
      </c>
      <c r="BA15" s="50">
        <v>547.49550999999997</v>
      </c>
      <c r="BB15" s="50">
        <v>8696.14948</v>
      </c>
      <c r="BC15" s="50">
        <v>625.23099999999999</v>
      </c>
      <c r="BD15" s="50">
        <v>12244.29904</v>
      </c>
      <c r="BE15" s="50">
        <v>433.76951000000003</v>
      </c>
      <c r="BF15" s="50">
        <v>18187.543850000002</v>
      </c>
      <c r="BG15" s="50">
        <v>516.82632000000001</v>
      </c>
      <c r="BH15" s="50">
        <v>22777.426050000002</v>
      </c>
      <c r="BI15" s="50">
        <v>549.15332999999998</v>
      </c>
      <c r="BJ15" s="50">
        <v>28633.478320000002</v>
      </c>
      <c r="BK15" s="50">
        <v>662.38731000000007</v>
      </c>
      <c r="BL15" s="50">
        <v>33391.308109999998</v>
      </c>
      <c r="BM15" s="50">
        <v>762.35091</v>
      </c>
      <c r="BN15" s="50">
        <v>37440.577859999998</v>
      </c>
      <c r="BO15" s="50">
        <v>887.95450000000005</v>
      </c>
      <c r="BP15" s="50">
        <v>42296.085209999997</v>
      </c>
      <c r="BQ15" s="50">
        <v>1005.35696</v>
      </c>
      <c r="BR15" s="50">
        <v>46150.78645</v>
      </c>
      <c r="BS15" s="50">
        <v>1163.0068899999999</v>
      </c>
      <c r="BT15" s="50">
        <v>48537.026100000003</v>
      </c>
      <c r="BU15" s="50">
        <v>1249.93399</v>
      </c>
      <c r="BV15" s="50">
        <v>2896.8254900000002</v>
      </c>
      <c r="BW15" s="50">
        <v>165.97592</v>
      </c>
      <c r="BX15" s="50">
        <v>6608.1522300000006</v>
      </c>
      <c r="BY15" s="50">
        <v>227.10944000000001</v>
      </c>
      <c r="BZ15" s="50">
        <v>10473.311659999999</v>
      </c>
      <c r="CA15" s="50">
        <v>308.05922999999996</v>
      </c>
      <c r="CB15" s="50">
        <v>12159.93744</v>
      </c>
      <c r="CC15" s="50">
        <v>438.23712</v>
      </c>
      <c r="CD15" s="50">
        <v>15030.577310000001</v>
      </c>
      <c r="CE15" s="50">
        <v>522.11451999999997</v>
      </c>
      <c r="CF15" s="50">
        <v>18949.247179999998</v>
      </c>
      <c r="CG15" s="50">
        <v>549.95461999999998</v>
      </c>
      <c r="CH15" s="50">
        <v>22993.192050000001</v>
      </c>
      <c r="CI15" s="50">
        <v>628.96556999999996</v>
      </c>
      <c r="CJ15" s="50">
        <v>28269.046920000001</v>
      </c>
      <c r="CK15" s="50">
        <v>836.32603000000006</v>
      </c>
      <c r="CL15" s="50">
        <v>33252.629959999998</v>
      </c>
      <c r="CM15" s="50">
        <v>914.31127000000004</v>
      </c>
      <c r="CN15" s="50">
        <v>36526.570020000006</v>
      </c>
      <c r="CO15" s="50">
        <v>1241.44461</v>
      </c>
      <c r="CP15" s="50">
        <v>39506.082049999997</v>
      </c>
      <c r="CQ15" s="50">
        <v>1437.87851</v>
      </c>
      <c r="CR15" s="50">
        <v>43130.15885</v>
      </c>
      <c r="CS15" s="50">
        <v>4779.6490100000001</v>
      </c>
      <c r="CT15" s="50">
        <v>2870.9665099999997</v>
      </c>
      <c r="CU15" s="50">
        <v>395.86973999999998</v>
      </c>
      <c r="CV15" s="50">
        <v>6293.3376600000001</v>
      </c>
      <c r="CW15" s="50">
        <v>664.51807999999994</v>
      </c>
      <c r="CX15" s="50">
        <v>7630.7462699999996</v>
      </c>
      <c r="CY15" s="50">
        <v>1003.57885</v>
      </c>
      <c r="CZ15" s="50">
        <v>8789.3066500000004</v>
      </c>
      <c r="DA15" s="50">
        <v>1416.3785800000001</v>
      </c>
      <c r="DB15" s="50">
        <v>12227.4139</v>
      </c>
      <c r="DC15" s="50">
        <v>1600.9605300000001</v>
      </c>
      <c r="DD15" s="50">
        <v>16307.184810000001</v>
      </c>
      <c r="DE15" s="50">
        <v>1767.1540299999999</v>
      </c>
      <c r="DF15" s="50">
        <v>21405.42484</v>
      </c>
      <c r="DG15" s="50">
        <v>2045.6612700000001</v>
      </c>
      <c r="DH15" s="50">
        <v>26420.384739999998</v>
      </c>
      <c r="DI15" s="50">
        <v>2189.5987</v>
      </c>
      <c r="DJ15" s="50">
        <v>31171.489519999999</v>
      </c>
      <c r="DK15" s="50">
        <v>2610.720953</v>
      </c>
      <c r="DL15" s="50">
        <v>34879.338909999999</v>
      </c>
      <c r="DM15" s="50">
        <v>3025.0014799999999</v>
      </c>
      <c r="DN15" s="50">
        <v>38609.938900000001</v>
      </c>
      <c r="DO15" s="50">
        <v>3329.9130829999999</v>
      </c>
      <c r="DP15" s="50">
        <v>41953.43838</v>
      </c>
      <c r="DQ15" s="51">
        <v>3968.0399499999999</v>
      </c>
      <c r="DR15" s="52">
        <v>2295.3569299999999</v>
      </c>
      <c r="DS15" s="53">
        <v>268.31844000000001</v>
      </c>
      <c r="DT15" s="54">
        <v>4805.47523</v>
      </c>
      <c r="DU15" s="51">
        <v>643.09303999999997</v>
      </c>
      <c r="DV15" s="52">
        <v>6887.0745699999998</v>
      </c>
      <c r="DW15" s="53">
        <v>892.10815000000002</v>
      </c>
      <c r="DX15" s="54">
        <v>8917.0786700000008</v>
      </c>
      <c r="DY15" s="51">
        <v>1143.6056799999999</v>
      </c>
      <c r="DZ15" s="52">
        <v>10901.78752</v>
      </c>
      <c r="EA15" s="53">
        <v>1506.57972</v>
      </c>
      <c r="EB15" s="54">
        <v>12816.8568</v>
      </c>
      <c r="EC15" s="51">
        <v>1677.61608</v>
      </c>
      <c r="ED15" s="52">
        <v>15204.094520000001</v>
      </c>
      <c r="EE15" s="53">
        <v>1816.79062</v>
      </c>
      <c r="EF15" s="52">
        <v>17308.821540000001</v>
      </c>
      <c r="EG15" s="55">
        <v>1858.4790700000001</v>
      </c>
      <c r="EH15" s="54">
        <v>19690.365440000001</v>
      </c>
      <c r="EI15" s="53">
        <v>1982.85616</v>
      </c>
      <c r="EJ15" s="54">
        <v>21963.018479999999</v>
      </c>
      <c r="EK15" s="53">
        <v>2112.4565699999998</v>
      </c>
      <c r="EL15" s="52">
        <v>23977.634109999999</v>
      </c>
      <c r="EM15" s="55">
        <v>2286.4353700000001</v>
      </c>
      <c r="EN15" s="52">
        <v>25852.231960000001</v>
      </c>
      <c r="EO15" s="55">
        <v>2519.5404199999998</v>
      </c>
      <c r="EP15" s="52">
        <v>1821.70471</v>
      </c>
      <c r="EQ15" s="55">
        <v>100.45924000000001</v>
      </c>
      <c r="ER15" s="52">
        <v>4153.6512899999998</v>
      </c>
      <c r="ES15" s="55">
        <v>164.27304000000001</v>
      </c>
      <c r="ET15" s="52">
        <v>6562.5130399999998</v>
      </c>
      <c r="EU15" s="55">
        <v>384.51778000000002</v>
      </c>
      <c r="EV15" s="52">
        <v>8725.5713099999994</v>
      </c>
      <c r="EW15" s="55">
        <v>470.56409000000002</v>
      </c>
      <c r="EX15" s="52">
        <v>11022.1625</v>
      </c>
      <c r="EY15" s="55">
        <v>588.97349999999994</v>
      </c>
      <c r="EZ15" s="52">
        <v>13231.0615</v>
      </c>
      <c r="FA15" s="55">
        <v>744.68898999999999</v>
      </c>
      <c r="FB15" s="52">
        <v>16356.150730000001</v>
      </c>
      <c r="FC15" s="55">
        <v>790.15614000000005</v>
      </c>
      <c r="FD15" s="52">
        <v>18808.553950000001</v>
      </c>
      <c r="FE15" s="55">
        <v>1018.68429</v>
      </c>
      <c r="FF15" s="52">
        <v>25362.719350000003</v>
      </c>
      <c r="FG15" s="55">
        <v>1199.4527399999999</v>
      </c>
      <c r="FH15" s="52">
        <v>28109.388859999999</v>
      </c>
      <c r="FI15" s="55">
        <v>1697.9730999999999</v>
      </c>
      <c r="FJ15" s="52">
        <v>30460.62702</v>
      </c>
      <c r="FK15" s="55">
        <v>1976.2621899999999</v>
      </c>
      <c r="FL15" s="52">
        <v>32931.702519999999</v>
      </c>
      <c r="FM15" s="55">
        <v>2030.2056599999999</v>
      </c>
      <c r="FN15" s="52">
        <v>1999.3978</v>
      </c>
      <c r="FO15" s="55">
        <v>233.08044000000001</v>
      </c>
      <c r="FP15" s="52">
        <v>5282.1114000000007</v>
      </c>
      <c r="FQ15" s="55">
        <v>378.00101000000001</v>
      </c>
      <c r="FR15" s="52">
        <v>8131.7620900000002</v>
      </c>
      <c r="FS15" s="55">
        <v>667.59451000000001</v>
      </c>
      <c r="FT15" s="52">
        <v>11685.174059999999</v>
      </c>
      <c r="FU15" s="55">
        <v>817.82500000000005</v>
      </c>
      <c r="FV15" s="52">
        <v>14148.661029999999</v>
      </c>
      <c r="FW15" s="55">
        <v>882.32384000000002</v>
      </c>
      <c r="FX15" s="52">
        <v>15623.715169999999</v>
      </c>
      <c r="FY15" s="55">
        <v>1084.3796600000001</v>
      </c>
      <c r="FZ15" s="52">
        <v>17456.023430000001</v>
      </c>
      <c r="GA15" s="55">
        <v>1260.4317000000001</v>
      </c>
      <c r="GB15" s="52">
        <v>19416.148450000001</v>
      </c>
      <c r="GC15" s="55">
        <v>1487.79393</v>
      </c>
      <c r="GD15" s="52">
        <v>25580.437379999999</v>
      </c>
      <c r="GE15" s="55">
        <v>1845.3198500000001</v>
      </c>
      <c r="GF15" s="52">
        <v>29525.93533</v>
      </c>
      <c r="GG15" s="55">
        <v>2288.2536700000001</v>
      </c>
      <c r="GH15" s="52">
        <v>32000.92051</v>
      </c>
      <c r="GI15" s="55">
        <v>2410.6186899999998</v>
      </c>
      <c r="GJ15" s="52">
        <v>34182.187539999999</v>
      </c>
      <c r="GK15" s="55">
        <v>2645.85367</v>
      </c>
      <c r="GL15" s="52">
        <v>2283.3493699999999</v>
      </c>
      <c r="GM15" s="55">
        <v>71.685010000000005</v>
      </c>
      <c r="GN15" s="52">
        <v>5287.8683300000002</v>
      </c>
      <c r="GO15" s="55">
        <v>501.74860999999999</v>
      </c>
      <c r="GP15" s="52">
        <v>7977.7989800000005</v>
      </c>
      <c r="GQ15" s="55">
        <v>626.65526999999997</v>
      </c>
      <c r="GR15" s="52">
        <v>10895.094300000001</v>
      </c>
      <c r="GS15" s="55">
        <v>897.37332000000004</v>
      </c>
      <c r="GT15" s="52">
        <v>13661.26928</v>
      </c>
      <c r="GU15" s="55">
        <v>1151.3654100000001</v>
      </c>
      <c r="GV15" s="52">
        <v>16133.196449999999</v>
      </c>
      <c r="GW15" s="55">
        <v>1482.3194800000001</v>
      </c>
      <c r="GX15" s="52">
        <v>19388.435270000002</v>
      </c>
      <c r="GY15" s="55">
        <v>1847.45722</v>
      </c>
      <c r="GZ15" s="52">
        <v>22222.011139999999</v>
      </c>
      <c r="HA15" s="55">
        <v>2284.5240800000001</v>
      </c>
      <c r="HB15" s="52">
        <v>28963.061079999999</v>
      </c>
      <c r="HC15" s="55">
        <v>2552.1984299999999</v>
      </c>
      <c r="HD15" s="52">
        <v>32273.0789</v>
      </c>
      <c r="HE15" s="55">
        <v>2781.3443499999998</v>
      </c>
      <c r="HF15" s="52">
        <v>35141.321210000002</v>
      </c>
      <c r="HG15" s="55">
        <v>3167.9967900000001</v>
      </c>
      <c r="HH15" s="52">
        <v>38301.108500000002</v>
      </c>
      <c r="HI15" s="55">
        <v>3431.0594299999998</v>
      </c>
      <c r="HJ15" s="52">
        <v>3107.9963699999998</v>
      </c>
      <c r="HK15" s="55">
        <v>399.08665999999999</v>
      </c>
      <c r="HL15" s="52">
        <v>6611.8691500000004</v>
      </c>
      <c r="HM15" s="55">
        <v>720.87773000000004</v>
      </c>
      <c r="HN15" s="52">
        <v>9902.1118000000006</v>
      </c>
      <c r="HO15" s="55">
        <v>911.24219000000005</v>
      </c>
      <c r="HP15" s="52">
        <v>13893.99891</v>
      </c>
      <c r="HQ15" s="55">
        <v>1200.90841</v>
      </c>
      <c r="HR15" s="52">
        <v>17541.725200000001</v>
      </c>
      <c r="HS15" s="55">
        <v>1349.63131</v>
      </c>
      <c r="HT15" s="52">
        <v>20708.315040000001</v>
      </c>
      <c r="HU15" s="55">
        <v>2040.0391199999999</v>
      </c>
      <c r="HV15" s="52">
        <v>24249.48893</v>
      </c>
      <c r="HW15" s="55">
        <v>2203.17812</v>
      </c>
      <c r="HX15" s="52">
        <v>28465.40281</v>
      </c>
      <c r="HY15" s="55">
        <v>2575.8777300000002</v>
      </c>
      <c r="HZ15" s="52">
        <v>33097.054499999998</v>
      </c>
      <c r="IA15" s="55">
        <v>2751.2641899999999</v>
      </c>
      <c r="IB15" s="16" t="s">
        <v>39</v>
      </c>
    </row>
    <row r="16" spans="1:306" s="9" customFormat="1" ht="22.5" customHeight="1" x14ac:dyDescent="0.4">
      <c r="A16" s="16" t="s">
        <v>40</v>
      </c>
      <c r="B16" s="50">
        <v>54.472580000000001</v>
      </c>
      <c r="C16" s="50">
        <v>0</v>
      </c>
      <c r="D16" s="50">
        <v>122.98082000000001</v>
      </c>
      <c r="E16" s="50">
        <v>0</v>
      </c>
      <c r="F16" s="50">
        <v>204.8665</v>
      </c>
      <c r="G16" s="50">
        <v>0</v>
      </c>
      <c r="H16" s="50">
        <v>292.69079999999997</v>
      </c>
      <c r="I16" s="50">
        <v>0</v>
      </c>
      <c r="J16" s="50">
        <v>388.50900000000001</v>
      </c>
      <c r="K16" s="50">
        <v>0</v>
      </c>
      <c r="L16" s="50">
        <v>495.66929118000002</v>
      </c>
      <c r="M16" s="50">
        <v>0</v>
      </c>
      <c r="N16" s="50">
        <v>633.37519999999995</v>
      </c>
      <c r="O16" s="50">
        <v>0</v>
      </c>
      <c r="P16" s="50">
        <v>855.68485999999996</v>
      </c>
      <c r="Q16" s="50">
        <v>0</v>
      </c>
      <c r="R16" s="50">
        <v>1006.3415</v>
      </c>
      <c r="S16" s="50">
        <v>0</v>
      </c>
      <c r="T16" s="50">
        <v>1637.2521399999998</v>
      </c>
      <c r="U16" s="50">
        <v>0</v>
      </c>
      <c r="V16" s="50">
        <v>1810.2138200000002</v>
      </c>
      <c r="W16" s="50">
        <v>0</v>
      </c>
      <c r="X16" s="50">
        <v>1868.2073300000002</v>
      </c>
      <c r="Y16" s="50">
        <v>0</v>
      </c>
      <c r="Z16" s="50">
        <v>151.51146</v>
      </c>
      <c r="AA16" s="50">
        <v>0</v>
      </c>
      <c r="AB16" s="50">
        <v>341.08987000000002</v>
      </c>
      <c r="AC16" s="50">
        <v>0</v>
      </c>
      <c r="AD16" s="50">
        <v>532.88656999999989</v>
      </c>
      <c r="AE16" s="50">
        <v>0</v>
      </c>
      <c r="AF16" s="50">
        <v>881.28120999999999</v>
      </c>
      <c r="AG16" s="50">
        <v>0</v>
      </c>
      <c r="AH16" s="50">
        <v>1356.4846499999999</v>
      </c>
      <c r="AI16" s="50">
        <v>0</v>
      </c>
      <c r="AJ16" s="50">
        <v>1630.7734399999999</v>
      </c>
      <c r="AK16" s="50">
        <v>0</v>
      </c>
      <c r="AL16" s="50">
        <v>1923.3008400000001</v>
      </c>
      <c r="AM16" s="50">
        <v>0</v>
      </c>
      <c r="AN16" s="50">
        <v>2334.75461</v>
      </c>
      <c r="AO16" s="50">
        <v>0</v>
      </c>
      <c r="AP16" s="50">
        <v>2644.56853</v>
      </c>
      <c r="AQ16" s="50">
        <v>0</v>
      </c>
      <c r="AR16" s="50">
        <v>2869.9008199999998</v>
      </c>
      <c r="AS16" s="50">
        <v>0</v>
      </c>
      <c r="AT16" s="50">
        <v>3100.4574499999999</v>
      </c>
      <c r="AU16" s="50">
        <v>0</v>
      </c>
      <c r="AV16" s="50">
        <v>3388.4390600000002</v>
      </c>
      <c r="AW16" s="50">
        <v>0</v>
      </c>
      <c r="AX16" s="50">
        <v>244.53064999999998</v>
      </c>
      <c r="AY16" s="50">
        <v>0</v>
      </c>
      <c r="AZ16" s="50">
        <v>531.85152000000005</v>
      </c>
      <c r="BA16" s="50">
        <v>0</v>
      </c>
      <c r="BB16" s="50">
        <v>742.35668999999996</v>
      </c>
      <c r="BC16" s="50">
        <v>0</v>
      </c>
      <c r="BD16" s="50">
        <v>1144.56024</v>
      </c>
      <c r="BE16" s="50">
        <v>0</v>
      </c>
      <c r="BF16" s="50">
        <v>1651.3817099999999</v>
      </c>
      <c r="BG16" s="50">
        <v>0</v>
      </c>
      <c r="BH16" s="50">
        <v>2048.26413</v>
      </c>
      <c r="BI16" s="50">
        <v>0</v>
      </c>
      <c r="BJ16" s="50">
        <v>2645.4960799999999</v>
      </c>
      <c r="BK16" s="50">
        <v>0</v>
      </c>
      <c r="BL16" s="50">
        <v>3034.0666699999997</v>
      </c>
      <c r="BM16" s="50">
        <v>0</v>
      </c>
      <c r="BN16" s="50">
        <v>3469.9316400000002</v>
      </c>
      <c r="BO16" s="50">
        <v>0</v>
      </c>
      <c r="BP16" s="50">
        <v>3862.8373900000001</v>
      </c>
      <c r="BQ16" s="50">
        <v>0</v>
      </c>
      <c r="BR16" s="50">
        <v>4150.2928000000002</v>
      </c>
      <c r="BS16" s="50">
        <v>0</v>
      </c>
      <c r="BT16" s="50">
        <v>4373.5182599999998</v>
      </c>
      <c r="BU16" s="50">
        <v>0</v>
      </c>
      <c r="BV16" s="50">
        <v>38.748220000000003</v>
      </c>
      <c r="BW16" s="50">
        <v>0</v>
      </c>
      <c r="BX16" s="50">
        <v>119.57725000000001</v>
      </c>
      <c r="BY16" s="50">
        <v>0</v>
      </c>
      <c r="BZ16" s="50">
        <v>156.77452</v>
      </c>
      <c r="CA16" s="50">
        <v>0</v>
      </c>
      <c r="CB16" s="50">
        <v>202.77495000000002</v>
      </c>
      <c r="CC16" s="50">
        <v>0</v>
      </c>
      <c r="CD16" s="50">
        <v>237.73770999999999</v>
      </c>
      <c r="CE16" s="50">
        <v>0</v>
      </c>
      <c r="CF16" s="50">
        <v>287.51284000000004</v>
      </c>
      <c r="CG16" s="50">
        <v>0</v>
      </c>
      <c r="CH16" s="50">
        <v>327.95744999999999</v>
      </c>
      <c r="CI16" s="50">
        <v>0</v>
      </c>
      <c r="CJ16" s="50">
        <v>427.07625000000002</v>
      </c>
      <c r="CK16" s="50">
        <v>0</v>
      </c>
      <c r="CL16" s="50">
        <v>696.96780000000001</v>
      </c>
      <c r="CM16" s="50">
        <v>0</v>
      </c>
      <c r="CN16" s="50">
        <v>746.59579000000008</v>
      </c>
      <c r="CO16" s="50">
        <v>0</v>
      </c>
      <c r="CP16" s="50">
        <v>792.51585</v>
      </c>
      <c r="CQ16" s="50">
        <v>0</v>
      </c>
      <c r="CR16" s="50">
        <v>843.48764000000006</v>
      </c>
      <c r="CS16" s="50">
        <v>0</v>
      </c>
      <c r="CT16" s="50">
        <v>41.055620000000005</v>
      </c>
      <c r="CU16" s="50">
        <v>0</v>
      </c>
      <c r="CV16" s="50">
        <v>517.84114999999997</v>
      </c>
      <c r="CW16" s="50">
        <v>0</v>
      </c>
      <c r="CX16" s="50">
        <v>622.24502000000007</v>
      </c>
      <c r="CY16" s="50">
        <v>0</v>
      </c>
      <c r="CZ16" s="50">
        <v>727.50630000000001</v>
      </c>
      <c r="DA16" s="50">
        <v>0</v>
      </c>
      <c r="DB16" s="50">
        <v>1031.2154599999999</v>
      </c>
      <c r="DC16" s="50">
        <v>0</v>
      </c>
      <c r="DD16" s="50">
        <v>1394.3331000000001</v>
      </c>
      <c r="DE16" s="50">
        <v>0</v>
      </c>
      <c r="DF16" s="50">
        <v>1821.38786</v>
      </c>
      <c r="DG16" s="50">
        <v>0</v>
      </c>
      <c r="DH16" s="50">
        <v>2265.75956</v>
      </c>
      <c r="DI16" s="50">
        <v>0</v>
      </c>
      <c r="DJ16" s="50">
        <v>2674.84852</v>
      </c>
      <c r="DK16" s="50">
        <v>0</v>
      </c>
      <c r="DL16" s="50">
        <v>3177.2068199999999</v>
      </c>
      <c r="DM16" s="50">
        <v>0</v>
      </c>
      <c r="DN16" s="50">
        <v>3487.6472699999999</v>
      </c>
      <c r="DO16" s="50">
        <v>0</v>
      </c>
      <c r="DP16" s="50">
        <v>3783.7116000000001</v>
      </c>
      <c r="DQ16" s="51">
        <v>0</v>
      </c>
      <c r="DR16" s="52">
        <v>83.925880000000006</v>
      </c>
      <c r="DS16" s="53">
        <v>0</v>
      </c>
      <c r="DT16" s="54">
        <v>199.50855000000001</v>
      </c>
      <c r="DU16" s="51">
        <v>0</v>
      </c>
      <c r="DV16" s="52">
        <v>291.90368000000001</v>
      </c>
      <c r="DW16" s="53">
        <v>0</v>
      </c>
      <c r="DX16" s="54">
        <v>412.8603</v>
      </c>
      <c r="DY16" s="51">
        <v>0</v>
      </c>
      <c r="DZ16" s="52">
        <v>516.12222999999994</v>
      </c>
      <c r="EA16" s="53">
        <v>0</v>
      </c>
      <c r="EB16" s="54">
        <v>616.71684000000005</v>
      </c>
      <c r="EC16" s="51">
        <v>20.184480000000001</v>
      </c>
      <c r="ED16" s="52">
        <v>709.55384000000004</v>
      </c>
      <c r="EE16" s="53">
        <v>25.620850000000001</v>
      </c>
      <c r="EF16" s="52">
        <v>807.56763000000001</v>
      </c>
      <c r="EG16" s="55">
        <v>27.348400000000002</v>
      </c>
      <c r="EH16" s="54">
        <v>930.08151999999995</v>
      </c>
      <c r="EI16" s="53">
        <v>29.672429999999999</v>
      </c>
      <c r="EJ16" s="54">
        <v>1204.67311</v>
      </c>
      <c r="EK16" s="53">
        <v>32.265599999999999</v>
      </c>
      <c r="EL16" s="52">
        <v>1327.15059</v>
      </c>
      <c r="EM16" s="55">
        <v>43.956009999999999</v>
      </c>
      <c r="EN16" s="52">
        <v>1208.24533</v>
      </c>
      <c r="EO16" s="55">
        <v>48.273739999999997</v>
      </c>
      <c r="EP16" s="52">
        <v>84.52188000000001</v>
      </c>
      <c r="EQ16" s="55">
        <v>0</v>
      </c>
      <c r="ER16" s="52">
        <v>265.84258</v>
      </c>
      <c r="ES16" s="55">
        <v>3.84937</v>
      </c>
      <c r="ET16" s="52">
        <v>454.24297999999999</v>
      </c>
      <c r="EU16" s="55">
        <v>4.8943300000000001</v>
      </c>
      <c r="EV16" s="52">
        <v>571.08981000000006</v>
      </c>
      <c r="EW16" s="55">
        <v>6.3194499999999998</v>
      </c>
      <c r="EX16" s="52">
        <v>696.96834000000001</v>
      </c>
      <c r="EY16" s="55">
        <v>8.0158900000000006</v>
      </c>
      <c r="EZ16" s="52">
        <v>797.51156000000003</v>
      </c>
      <c r="FA16" s="55">
        <v>9.5173400000000008</v>
      </c>
      <c r="FB16" s="52">
        <v>996.32281999999998</v>
      </c>
      <c r="FC16" s="55">
        <v>20.16544</v>
      </c>
      <c r="FD16" s="52">
        <v>1170.6956399999999</v>
      </c>
      <c r="FE16" s="55">
        <v>44.311729999999997</v>
      </c>
      <c r="FF16" s="52">
        <v>1359.09032</v>
      </c>
      <c r="FG16" s="55">
        <v>68.008099999999999</v>
      </c>
      <c r="FH16" s="52">
        <v>1552.7937999999999</v>
      </c>
      <c r="FI16" s="55">
        <v>69.553250000000006</v>
      </c>
      <c r="FJ16" s="52">
        <v>1764.0330899999999</v>
      </c>
      <c r="FK16" s="55">
        <v>77.404679999999999</v>
      </c>
      <c r="FL16" s="52">
        <v>1928.5048700000002</v>
      </c>
      <c r="FM16" s="55">
        <v>146.61273</v>
      </c>
      <c r="FN16" s="52">
        <v>109.31189000000001</v>
      </c>
      <c r="FO16" s="55">
        <v>8.2194599999999998</v>
      </c>
      <c r="FP16" s="52">
        <v>670.68444</v>
      </c>
      <c r="FQ16" s="55">
        <v>36.678470000000004</v>
      </c>
      <c r="FR16" s="52">
        <v>999.26978999999994</v>
      </c>
      <c r="FS16" s="55">
        <v>38.954030000000003</v>
      </c>
      <c r="FT16" s="52">
        <v>1364.86636</v>
      </c>
      <c r="FU16" s="55">
        <v>40.365580000000001</v>
      </c>
      <c r="FV16" s="52">
        <v>1705.1242400000001</v>
      </c>
      <c r="FW16" s="55">
        <v>44.536839999999998</v>
      </c>
      <c r="FX16" s="52">
        <v>1935.4684600000001</v>
      </c>
      <c r="FY16" s="55">
        <v>85.771789999999996</v>
      </c>
      <c r="FZ16" s="52">
        <v>2219.1927500000002</v>
      </c>
      <c r="GA16" s="55">
        <v>87.744829999999993</v>
      </c>
      <c r="GB16" s="52">
        <v>2503.3528799999999</v>
      </c>
      <c r="GC16" s="55">
        <v>89.487530000000007</v>
      </c>
      <c r="GD16" s="52">
        <v>2810.5189999999998</v>
      </c>
      <c r="GE16" s="55">
        <v>145.65145000000001</v>
      </c>
      <c r="GF16" s="52">
        <v>3075.45433</v>
      </c>
      <c r="GG16" s="55">
        <v>165.08330000000001</v>
      </c>
      <c r="GH16" s="52">
        <v>3343.91921</v>
      </c>
      <c r="GI16" s="55">
        <v>193.03285</v>
      </c>
      <c r="GJ16" s="52">
        <v>3608.4243099999999</v>
      </c>
      <c r="GK16" s="55">
        <v>198.96046999999999</v>
      </c>
      <c r="GL16" s="52">
        <v>312.71771000000001</v>
      </c>
      <c r="GM16" s="55">
        <v>2.2919999999999998</v>
      </c>
      <c r="GN16" s="52">
        <v>573.10779000000002</v>
      </c>
      <c r="GO16" s="55">
        <v>80.326279999999997</v>
      </c>
      <c r="GP16" s="52">
        <v>817.91057999999998</v>
      </c>
      <c r="GQ16" s="55">
        <v>151.26246</v>
      </c>
      <c r="GR16" s="52">
        <v>1193.56575</v>
      </c>
      <c r="GS16" s="55">
        <v>183.68333999999999</v>
      </c>
      <c r="GT16" s="52">
        <v>1657.8393100000001</v>
      </c>
      <c r="GU16" s="55">
        <v>205.97138000000001</v>
      </c>
      <c r="GV16" s="52">
        <v>1983.04232</v>
      </c>
      <c r="GW16" s="55">
        <v>222.03717</v>
      </c>
      <c r="GX16" s="52">
        <v>2373.8113800000001</v>
      </c>
      <c r="GY16" s="55">
        <v>225.38202000000001</v>
      </c>
      <c r="GZ16" s="52">
        <v>2738.0318699999998</v>
      </c>
      <c r="HA16" s="55">
        <v>266.62078000000002</v>
      </c>
      <c r="HB16" s="52">
        <v>3150.5559199999998</v>
      </c>
      <c r="HC16" s="55">
        <v>362.55664999999999</v>
      </c>
      <c r="HD16" s="52">
        <v>3557.1146899999999</v>
      </c>
      <c r="HE16" s="55">
        <v>369.04782</v>
      </c>
      <c r="HF16" s="52">
        <v>3910.6028999999999</v>
      </c>
      <c r="HG16" s="55">
        <v>456.87511999999998</v>
      </c>
      <c r="HH16" s="52">
        <v>4323.8523400000004</v>
      </c>
      <c r="HI16" s="55">
        <v>478.29476</v>
      </c>
      <c r="HJ16" s="52">
        <v>194.02001999999999</v>
      </c>
      <c r="HK16" s="55">
        <v>0</v>
      </c>
      <c r="HL16" s="52">
        <v>843.37672999999995</v>
      </c>
      <c r="HM16" s="55">
        <v>14.662789999999999</v>
      </c>
      <c r="HN16" s="52">
        <v>875.15722000000005</v>
      </c>
      <c r="HO16" s="55">
        <v>16.98311</v>
      </c>
      <c r="HP16" s="52">
        <v>1046.4199599999999</v>
      </c>
      <c r="HQ16" s="55">
        <v>42.499310000000001</v>
      </c>
      <c r="HR16" s="52">
        <v>1217.4670900000001</v>
      </c>
      <c r="HS16" s="55">
        <v>44.285400000000003</v>
      </c>
      <c r="HT16" s="52">
        <v>1467.0633800000001</v>
      </c>
      <c r="HU16" s="55">
        <v>65.395859999999999</v>
      </c>
      <c r="HV16" s="52">
        <v>1815.8981000000001</v>
      </c>
      <c r="HW16" s="55">
        <v>68.735219999999998</v>
      </c>
      <c r="HX16" s="52">
        <v>2092.4470700000002</v>
      </c>
      <c r="HY16" s="55">
        <v>77.611590000000007</v>
      </c>
      <c r="HZ16" s="52">
        <v>2410.1681800000001</v>
      </c>
      <c r="IA16" s="55">
        <v>79.582350000000005</v>
      </c>
      <c r="IB16" s="17" t="s">
        <v>109</v>
      </c>
      <c r="IF16" s="81"/>
    </row>
    <row r="17" spans="1:238" s="9" customFormat="1" ht="22.5" customHeight="1" x14ac:dyDescent="0.4">
      <c r="A17" s="15" t="s">
        <v>41</v>
      </c>
      <c r="B17" s="50">
        <v>7.6529999999999996</v>
      </c>
      <c r="C17" s="50">
        <v>0</v>
      </c>
      <c r="D17" s="50">
        <v>15.73061</v>
      </c>
      <c r="E17" s="50">
        <v>0</v>
      </c>
      <c r="F17" s="50">
        <v>28.785889999999998</v>
      </c>
      <c r="G17" s="50">
        <v>5</v>
      </c>
      <c r="H17" s="50">
        <v>36.271370000000005</v>
      </c>
      <c r="I17" s="50">
        <v>5</v>
      </c>
      <c r="J17" s="50">
        <v>45.581150000000001</v>
      </c>
      <c r="K17" s="50">
        <v>7.4249999999999998</v>
      </c>
      <c r="L17" s="50">
        <v>53.359438819000005</v>
      </c>
      <c r="M17" s="50">
        <v>9.85</v>
      </c>
      <c r="N17" s="50">
        <v>61.741010000000003</v>
      </c>
      <c r="O17" s="50">
        <v>9.85</v>
      </c>
      <c r="P17" s="50">
        <v>103.93774999999999</v>
      </c>
      <c r="Q17" s="50">
        <v>9.85</v>
      </c>
      <c r="R17" s="50">
        <v>100.41189999999999</v>
      </c>
      <c r="S17" s="50">
        <v>9.85</v>
      </c>
      <c r="T17" s="50">
        <v>105.79583</v>
      </c>
      <c r="U17" s="50">
        <v>9.85</v>
      </c>
      <c r="V17" s="50">
        <v>113.06705000000001</v>
      </c>
      <c r="W17" s="50">
        <v>9.85</v>
      </c>
      <c r="X17" s="50">
        <v>117.51663000000001</v>
      </c>
      <c r="Y17" s="50">
        <v>9.85</v>
      </c>
      <c r="Z17" s="50">
        <v>7.1914999999999996</v>
      </c>
      <c r="AA17" s="50">
        <v>0</v>
      </c>
      <c r="AB17" s="50">
        <v>15.098780000000001</v>
      </c>
      <c r="AC17" s="50">
        <v>0</v>
      </c>
      <c r="AD17" s="50">
        <v>16.26559</v>
      </c>
      <c r="AE17" s="50">
        <v>0</v>
      </c>
      <c r="AF17" s="50">
        <v>25.817080000000001</v>
      </c>
      <c r="AG17" s="50">
        <v>0</v>
      </c>
      <c r="AH17" s="50">
        <v>32.176409999999997</v>
      </c>
      <c r="AI17" s="50">
        <v>0</v>
      </c>
      <c r="AJ17" s="50">
        <v>46.67615</v>
      </c>
      <c r="AK17" s="50">
        <v>0</v>
      </c>
      <c r="AL17" s="50">
        <v>57.342869999999998</v>
      </c>
      <c r="AM17" s="50">
        <v>0</v>
      </c>
      <c r="AN17" s="50">
        <v>101.17357000000001</v>
      </c>
      <c r="AO17" s="50">
        <v>0</v>
      </c>
      <c r="AP17" s="50">
        <v>246.58085999999997</v>
      </c>
      <c r="AQ17" s="50">
        <v>0</v>
      </c>
      <c r="AR17" s="50">
        <v>252.11303000000001</v>
      </c>
      <c r="AS17" s="50">
        <v>0</v>
      </c>
      <c r="AT17" s="50">
        <v>257.47712999999999</v>
      </c>
      <c r="AU17" s="50">
        <v>0</v>
      </c>
      <c r="AV17" s="50">
        <v>277.96587</v>
      </c>
      <c r="AW17" s="50">
        <v>0</v>
      </c>
      <c r="AX17" s="50">
        <v>6.7227200000000007</v>
      </c>
      <c r="AY17" s="50">
        <v>0</v>
      </c>
      <c r="AZ17" s="50">
        <v>16.444780000000002</v>
      </c>
      <c r="BA17" s="50">
        <v>0</v>
      </c>
      <c r="BB17" s="50">
        <v>23.074339999999999</v>
      </c>
      <c r="BC17" s="50">
        <v>0</v>
      </c>
      <c r="BD17" s="50">
        <v>41.491620000000005</v>
      </c>
      <c r="BE17" s="50">
        <v>0</v>
      </c>
      <c r="BF17" s="50">
        <v>66.059830000000005</v>
      </c>
      <c r="BG17" s="50">
        <v>0</v>
      </c>
      <c r="BH17" s="50">
        <v>94.754050000000007</v>
      </c>
      <c r="BI17" s="50">
        <v>0</v>
      </c>
      <c r="BJ17" s="50">
        <v>142.69320000000002</v>
      </c>
      <c r="BK17" s="50">
        <v>0</v>
      </c>
      <c r="BL17" s="50">
        <v>218.4734</v>
      </c>
      <c r="BM17" s="50">
        <v>0</v>
      </c>
      <c r="BN17" s="50">
        <v>393.16416999999996</v>
      </c>
      <c r="BO17" s="50">
        <v>0</v>
      </c>
      <c r="BP17" s="50">
        <v>434.50752</v>
      </c>
      <c r="BQ17" s="50">
        <v>0</v>
      </c>
      <c r="BR17" s="50">
        <v>324.53058000000004</v>
      </c>
      <c r="BS17" s="50">
        <v>0</v>
      </c>
      <c r="BT17" s="50">
        <v>350.59750000000003</v>
      </c>
      <c r="BU17" s="50">
        <v>0</v>
      </c>
      <c r="BV17" s="50">
        <v>20.175909999999998</v>
      </c>
      <c r="BW17" s="50">
        <v>0</v>
      </c>
      <c r="BX17" s="50">
        <v>49.788599999999995</v>
      </c>
      <c r="BY17" s="50">
        <v>0</v>
      </c>
      <c r="BZ17" s="50">
        <v>123.06393</v>
      </c>
      <c r="CA17" s="50">
        <v>0</v>
      </c>
      <c r="CB17" s="50">
        <v>139.41469000000001</v>
      </c>
      <c r="CC17" s="50">
        <v>0</v>
      </c>
      <c r="CD17" s="50">
        <v>158.77139000000003</v>
      </c>
      <c r="CE17" s="50">
        <v>0</v>
      </c>
      <c r="CF17" s="50">
        <v>187.76131000000001</v>
      </c>
      <c r="CG17" s="50">
        <v>0</v>
      </c>
      <c r="CH17" s="50">
        <v>216.19716</v>
      </c>
      <c r="CI17" s="50">
        <v>0</v>
      </c>
      <c r="CJ17" s="50">
        <v>319.29374000000001</v>
      </c>
      <c r="CK17" s="50">
        <v>0</v>
      </c>
      <c r="CL17" s="50">
        <v>369.78578000000005</v>
      </c>
      <c r="CM17" s="50">
        <v>0</v>
      </c>
      <c r="CN17" s="50">
        <v>409.77728000000002</v>
      </c>
      <c r="CO17" s="50">
        <v>0</v>
      </c>
      <c r="CP17" s="50">
        <v>437.70447999999999</v>
      </c>
      <c r="CQ17" s="50">
        <v>0</v>
      </c>
      <c r="CR17" s="50">
        <v>478.89121</v>
      </c>
      <c r="CS17" s="50">
        <v>0</v>
      </c>
      <c r="CT17" s="50">
        <v>47.838389999999997</v>
      </c>
      <c r="CU17" s="50">
        <v>5</v>
      </c>
      <c r="CV17" s="50">
        <v>100.90608</v>
      </c>
      <c r="CW17" s="50">
        <v>5</v>
      </c>
      <c r="CX17" s="50">
        <v>160.38676000000001</v>
      </c>
      <c r="CY17" s="50">
        <v>5</v>
      </c>
      <c r="CZ17" s="50">
        <v>249.88654</v>
      </c>
      <c r="DA17" s="50">
        <v>5</v>
      </c>
      <c r="DB17" s="50">
        <v>300.31085999999999</v>
      </c>
      <c r="DC17" s="50">
        <v>15</v>
      </c>
      <c r="DD17" s="50">
        <v>354.81996999999996</v>
      </c>
      <c r="DE17" s="50">
        <v>15</v>
      </c>
      <c r="DF17" s="50">
        <v>435.28595000000001</v>
      </c>
      <c r="DG17" s="50">
        <v>15</v>
      </c>
      <c r="DH17" s="50">
        <v>543.55657999999994</v>
      </c>
      <c r="DI17" s="50">
        <v>20</v>
      </c>
      <c r="DJ17" s="50">
        <v>779.95813999999996</v>
      </c>
      <c r="DK17" s="50">
        <v>20</v>
      </c>
      <c r="DL17" s="50">
        <v>831.84145000000001</v>
      </c>
      <c r="DM17" s="50">
        <v>20</v>
      </c>
      <c r="DN17" s="50">
        <v>884.87149999999997</v>
      </c>
      <c r="DO17" s="50">
        <v>25</v>
      </c>
      <c r="DP17" s="50">
        <v>939.32438000000002</v>
      </c>
      <c r="DQ17" s="51">
        <v>27</v>
      </c>
      <c r="DR17" s="52">
        <v>89.439059999999998</v>
      </c>
      <c r="DS17" s="53">
        <v>0</v>
      </c>
      <c r="DT17" s="54">
        <v>170.90763000000001</v>
      </c>
      <c r="DU17" s="51">
        <v>0</v>
      </c>
      <c r="DV17" s="52">
        <v>248.61556999999999</v>
      </c>
      <c r="DW17" s="53">
        <v>0</v>
      </c>
      <c r="DX17" s="54">
        <v>352.05151999999998</v>
      </c>
      <c r="DY17" s="51">
        <v>0</v>
      </c>
      <c r="DZ17" s="52">
        <v>439.54745000000003</v>
      </c>
      <c r="EA17" s="53">
        <v>5</v>
      </c>
      <c r="EB17" s="54">
        <v>532.78597000000002</v>
      </c>
      <c r="EC17" s="51">
        <v>30</v>
      </c>
      <c r="ED17" s="52">
        <v>611.74177999999995</v>
      </c>
      <c r="EE17" s="53">
        <v>30</v>
      </c>
      <c r="EF17" s="52">
        <v>700.79007000000001</v>
      </c>
      <c r="EG17" s="55">
        <v>30.1</v>
      </c>
      <c r="EH17" s="54">
        <v>1073.7493400000001</v>
      </c>
      <c r="EI17" s="53">
        <v>55.2</v>
      </c>
      <c r="EJ17" s="54">
        <v>1158.46136</v>
      </c>
      <c r="EK17" s="53">
        <v>60.2</v>
      </c>
      <c r="EL17" s="52">
        <v>1265.41561</v>
      </c>
      <c r="EM17" s="55">
        <v>60.2</v>
      </c>
      <c r="EN17" s="52">
        <v>1341.2893899999999</v>
      </c>
      <c r="EO17" s="55">
        <v>60.2</v>
      </c>
      <c r="EP17" s="52">
        <v>104.80425</v>
      </c>
      <c r="EQ17" s="55">
        <v>0</v>
      </c>
      <c r="ER17" s="52">
        <v>281.11715999999996</v>
      </c>
      <c r="ES17" s="55">
        <v>0.15</v>
      </c>
      <c r="ET17" s="52">
        <v>530.41700000000003</v>
      </c>
      <c r="EU17" s="55">
        <v>0.15</v>
      </c>
      <c r="EV17" s="52">
        <v>780.44016999999997</v>
      </c>
      <c r="EW17" s="55">
        <v>0.15</v>
      </c>
      <c r="EX17" s="52">
        <v>913.57882999999993</v>
      </c>
      <c r="EY17" s="55">
        <v>0.15</v>
      </c>
      <c r="EZ17" s="52">
        <v>1088.5085200000001</v>
      </c>
      <c r="FA17" s="55">
        <v>11.55</v>
      </c>
      <c r="FB17" s="52">
        <v>1391.4951000000001</v>
      </c>
      <c r="FC17" s="55">
        <v>15.55</v>
      </c>
      <c r="FD17" s="52">
        <v>1642.6646599999999</v>
      </c>
      <c r="FE17" s="55">
        <v>20.55</v>
      </c>
      <c r="FF17" s="52">
        <v>4342.3167800000001</v>
      </c>
      <c r="FG17" s="55">
        <v>26.55</v>
      </c>
      <c r="FH17" s="52">
        <v>4763.1450599999998</v>
      </c>
      <c r="FI17" s="55">
        <v>33.549999999999997</v>
      </c>
      <c r="FJ17" s="52">
        <v>5110.7905799999999</v>
      </c>
      <c r="FK17" s="55">
        <v>33.549999999999997</v>
      </c>
      <c r="FL17" s="52">
        <v>5350.3388399999994</v>
      </c>
      <c r="FM17" s="55">
        <v>64.55</v>
      </c>
      <c r="FN17" s="52">
        <v>192.50843</v>
      </c>
      <c r="FO17" s="55">
        <v>0</v>
      </c>
      <c r="FP17" s="52">
        <v>692.84050000000002</v>
      </c>
      <c r="FQ17" s="55">
        <v>13.75</v>
      </c>
      <c r="FR17" s="52">
        <v>1158.5396900000001</v>
      </c>
      <c r="FS17" s="55">
        <v>44.25</v>
      </c>
      <c r="FT17" s="52">
        <v>1630.5782999999999</v>
      </c>
      <c r="FU17" s="55">
        <v>69</v>
      </c>
      <c r="FV17" s="52">
        <v>1938.6585299999999</v>
      </c>
      <c r="FW17" s="55">
        <v>92</v>
      </c>
      <c r="FX17" s="52">
        <v>2270.4795100000001</v>
      </c>
      <c r="FY17" s="55">
        <v>168.75</v>
      </c>
      <c r="FZ17" s="52">
        <v>2653.92902</v>
      </c>
      <c r="GA17" s="55">
        <v>185.25</v>
      </c>
      <c r="GB17" s="52">
        <v>3004.4486900000002</v>
      </c>
      <c r="GC17" s="55">
        <v>223.3</v>
      </c>
      <c r="GD17" s="52">
        <v>5836.3467199999996</v>
      </c>
      <c r="GE17" s="55">
        <v>258.22000000000003</v>
      </c>
      <c r="GF17" s="52">
        <v>6309.0940700000001</v>
      </c>
      <c r="GG17" s="55">
        <v>372.47</v>
      </c>
      <c r="GH17" s="52">
        <v>6585.1784500000003</v>
      </c>
      <c r="GI17" s="55">
        <v>429.72</v>
      </c>
      <c r="GJ17" s="52">
        <v>6852.9455799999996</v>
      </c>
      <c r="GK17" s="55">
        <v>471.97</v>
      </c>
      <c r="GL17" s="52">
        <v>318.38103000000001</v>
      </c>
      <c r="GM17" s="55">
        <v>78</v>
      </c>
      <c r="GN17" s="52">
        <v>588.38567999999998</v>
      </c>
      <c r="GO17" s="55">
        <v>290</v>
      </c>
      <c r="GP17" s="52">
        <v>869.28515000000004</v>
      </c>
      <c r="GQ17" s="55">
        <v>345.25</v>
      </c>
      <c r="GR17" s="52">
        <v>1345.2882300000001</v>
      </c>
      <c r="GS17" s="55">
        <v>510.75</v>
      </c>
      <c r="GT17" s="52">
        <v>1842.1516200000001</v>
      </c>
      <c r="GU17" s="55">
        <v>719.75</v>
      </c>
      <c r="GV17" s="52">
        <v>2310.1745099999998</v>
      </c>
      <c r="GW17" s="55">
        <v>829.25</v>
      </c>
      <c r="GX17" s="52">
        <v>2828.49638</v>
      </c>
      <c r="GY17" s="55">
        <v>1023.6</v>
      </c>
      <c r="GZ17" s="52">
        <v>3277.5129200000001</v>
      </c>
      <c r="HA17" s="55">
        <v>1120.3499999999999</v>
      </c>
      <c r="HB17" s="52">
        <v>6116.5988799999996</v>
      </c>
      <c r="HC17" s="55">
        <v>1211.0999999999999</v>
      </c>
      <c r="HD17" s="52">
        <v>6764.4587799999999</v>
      </c>
      <c r="HE17" s="55">
        <v>1317.45</v>
      </c>
      <c r="HF17" s="52">
        <v>7309.8383599999997</v>
      </c>
      <c r="HG17" s="55">
        <v>1436.5</v>
      </c>
      <c r="HH17" s="52">
        <v>7863.0271199999997</v>
      </c>
      <c r="HI17" s="55">
        <v>1515.35</v>
      </c>
      <c r="HJ17" s="52">
        <v>626.12649999999996</v>
      </c>
      <c r="HK17" s="55">
        <v>220.95</v>
      </c>
      <c r="HL17" s="52">
        <v>960.84765000000004</v>
      </c>
      <c r="HM17" s="55">
        <v>343.64</v>
      </c>
      <c r="HN17" s="52">
        <v>2075.6521400000001</v>
      </c>
      <c r="HO17" s="55">
        <v>500.89</v>
      </c>
      <c r="HP17" s="52">
        <v>3046.66624</v>
      </c>
      <c r="HQ17" s="55">
        <v>643.39</v>
      </c>
      <c r="HR17" s="52">
        <v>3878.4580599999999</v>
      </c>
      <c r="HS17" s="55">
        <v>878.89</v>
      </c>
      <c r="HT17" s="52">
        <v>4736.1632799999998</v>
      </c>
      <c r="HU17" s="55">
        <v>1003.1</v>
      </c>
      <c r="HV17" s="52">
        <v>5914.4751500000002</v>
      </c>
      <c r="HW17" s="55">
        <v>1102.04</v>
      </c>
      <c r="HX17" s="52">
        <v>7206.5966699999999</v>
      </c>
      <c r="HY17" s="55">
        <v>1269.79</v>
      </c>
      <c r="HZ17" s="52">
        <v>8505.4622500000005</v>
      </c>
      <c r="IA17" s="55">
        <v>1405.29</v>
      </c>
      <c r="IB17" s="16" t="s">
        <v>110</v>
      </c>
    </row>
    <row r="18" spans="1:238" s="9" customFormat="1" ht="22.5" customHeight="1" x14ac:dyDescent="0.4">
      <c r="A18" s="14" t="s">
        <v>42</v>
      </c>
      <c r="B18" s="44">
        <f t="shared" ref="B18:BM18" si="78">B19+B23</f>
        <v>52765.430560000008</v>
      </c>
      <c r="C18" s="44">
        <f t="shared" si="78"/>
        <v>5659.5281400000003</v>
      </c>
      <c r="D18" s="44">
        <f t="shared" si="78"/>
        <v>66300.280090437998</v>
      </c>
      <c r="E18" s="44">
        <f t="shared" si="78"/>
        <v>10309.81191</v>
      </c>
      <c r="F18" s="44">
        <f t="shared" si="78"/>
        <v>77747.019780000002</v>
      </c>
      <c r="G18" s="44">
        <f t="shared" si="78"/>
        <v>16340.14709</v>
      </c>
      <c r="H18" s="44">
        <f t="shared" si="78"/>
        <v>86423.125650000002</v>
      </c>
      <c r="I18" s="44">
        <f t="shared" si="78"/>
        <v>20125.61522</v>
      </c>
      <c r="J18" s="44">
        <f t="shared" si="78"/>
        <v>98371.295979999995</v>
      </c>
      <c r="K18" s="44">
        <f t="shared" si="78"/>
        <v>28290.748769999998</v>
      </c>
      <c r="L18" s="44">
        <f t="shared" si="78"/>
        <v>109155.75466000001</v>
      </c>
      <c r="M18" s="44">
        <f t="shared" si="78"/>
        <v>37560.324820000009</v>
      </c>
      <c r="N18" s="44">
        <f t="shared" si="78"/>
        <v>127160.25349</v>
      </c>
      <c r="O18" s="44">
        <f t="shared" si="78"/>
        <v>43981.765830000004</v>
      </c>
      <c r="P18" s="44">
        <f t="shared" si="78"/>
        <v>142106.83564</v>
      </c>
      <c r="Q18" s="44">
        <f t="shared" si="78"/>
        <v>53486.287920000002</v>
      </c>
      <c r="R18" s="44">
        <f t="shared" si="78"/>
        <v>157772.42577999999</v>
      </c>
      <c r="S18" s="44">
        <f t="shared" si="78"/>
        <v>58673.60714</v>
      </c>
      <c r="T18" s="44">
        <f t="shared" si="78"/>
        <v>169120.68365000002</v>
      </c>
      <c r="U18" s="44">
        <f t="shared" si="78"/>
        <v>65262.474409999995</v>
      </c>
      <c r="V18" s="44">
        <f t="shared" si="78"/>
        <v>180205.60943000001</v>
      </c>
      <c r="W18" s="44">
        <f t="shared" si="78"/>
        <v>69155.850449999998</v>
      </c>
      <c r="X18" s="44">
        <f t="shared" si="78"/>
        <v>197375.70152</v>
      </c>
      <c r="Y18" s="44">
        <f t="shared" si="78"/>
        <v>73017.972099999999</v>
      </c>
      <c r="Z18" s="44">
        <f t="shared" si="78"/>
        <v>55156.273730000008</v>
      </c>
      <c r="AA18" s="44">
        <f t="shared" si="78"/>
        <v>6997.3784690000002</v>
      </c>
      <c r="AB18" s="44">
        <f t="shared" si="78"/>
        <v>70554.799440000003</v>
      </c>
      <c r="AC18" s="44">
        <f t="shared" si="78"/>
        <v>13027.734679999998</v>
      </c>
      <c r="AD18" s="44">
        <f t="shared" si="78"/>
        <v>93751.638219999993</v>
      </c>
      <c r="AE18" s="44">
        <f t="shared" si="78"/>
        <v>17724.712509999998</v>
      </c>
      <c r="AF18" s="44">
        <f t="shared" si="78"/>
        <v>105262.88425999999</v>
      </c>
      <c r="AG18" s="44">
        <f t="shared" si="78"/>
        <v>26123.134389999996</v>
      </c>
      <c r="AH18" s="44">
        <f t="shared" si="78"/>
        <v>117322.35337</v>
      </c>
      <c r="AI18" s="44">
        <f t="shared" si="78"/>
        <v>32427.771120000001</v>
      </c>
      <c r="AJ18" s="44">
        <f t="shared" si="78"/>
        <v>127905.98529000001</v>
      </c>
      <c r="AK18" s="44">
        <f t="shared" si="78"/>
        <v>38190.134129999999</v>
      </c>
      <c r="AL18" s="44">
        <f t="shared" si="78"/>
        <v>149308.42604000002</v>
      </c>
      <c r="AM18" s="44">
        <f t="shared" si="78"/>
        <v>44866.233269999997</v>
      </c>
      <c r="AN18" s="44">
        <f t="shared" si="78"/>
        <v>162866.33470000001</v>
      </c>
      <c r="AO18" s="44">
        <f t="shared" si="78"/>
        <v>51057.6109</v>
      </c>
      <c r="AP18" s="44">
        <f t="shared" si="78"/>
        <v>179924.55235000001</v>
      </c>
      <c r="AQ18" s="44">
        <f t="shared" si="78"/>
        <v>56777.040509999999</v>
      </c>
      <c r="AR18" s="44">
        <f t="shared" si="78"/>
        <v>194435.30176</v>
      </c>
      <c r="AS18" s="44">
        <f t="shared" si="78"/>
        <v>63197.553059999998</v>
      </c>
      <c r="AT18" s="44">
        <f t="shared" si="78"/>
        <v>205902.59664999999</v>
      </c>
      <c r="AU18" s="44">
        <f t="shared" si="78"/>
        <v>71560.570739999996</v>
      </c>
      <c r="AV18" s="44">
        <f t="shared" si="78"/>
        <v>230446.48440999998</v>
      </c>
      <c r="AW18" s="44">
        <f t="shared" si="78"/>
        <v>77585.915349999996</v>
      </c>
      <c r="AX18" s="44">
        <f t="shared" si="78"/>
        <v>61047.806360000002</v>
      </c>
      <c r="AY18" s="44">
        <f t="shared" si="78"/>
        <v>3351.7088699999999</v>
      </c>
      <c r="AZ18" s="44">
        <f t="shared" si="78"/>
        <v>79151.699590000004</v>
      </c>
      <c r="BA18" s="44">
        <f t="shared" si="78"/>
        <v>9587.2257800000007</v>
      </c>
      <c r="BB18" s="44">
        <f t="shared" si="78"/>
        <v>91414.686389999988</v>
      </c>
      <c r="BC18" s="44">
        <f t="shared" si="78"/>
        <v>14741.974300000002</v>
      </c>
      <c r="BD18" s="44">
        <f t="shared" si="78"/>
        <v>103721.64881000001</v>
      </c>
      <c r="BE18" s="44">
        <f t="shared" si="78"/>
        <v>22375.843169999996</v>
      </c>
      <c r="BF18" s="44">
        <f t="shared" si="78"/>
        <v>119766.63380000001</v>
      </c>
      <c r="BG18" s="44">
        <f t="shared" si="78"/>
        <v>33887.051160000003</v>
      </c>
      <c r="BH18" s="44">
        <f t="shared" si="78"/>
        <v>131816.56848999998</v>
      </c>
      <c r="BI18" s="44">
        <f t="shared" si="78"/>
        <v>43120.88061</v>
      </c>
      <c r="BJ18" s="44">
        <f t="shared" si="78"/>
        <v>151745.19413000002</v>
      </c>
      <c r="BK18" s="44">
        <f t="shared" si="78"/>
        <v>46491.349399999999</v>
      </c>
      <c r="BL18" s="44">
        <f t="shared" si="78"/>
        <v>163698.13801000002</v>
      </c>
      <c r="BM18" s="44">
        <f t="shared" si="78"/>
        <v>55921.717560000005</v>
      </c>
      <c r="BN18" s="44">
        <f t="shared" ref="BN18:DY18" si="79">BN19+BN23</f>
        <v>183610.51740000001</v>
      </c>
      <c r="BO18" s="44">
        <f t="shared" si="79"/>
        <v>62827.237600000008</v>
      </c>
      <c r="BP18" s="44">
        <f t="shared" si="79"/>
        <v>201805.30702000001</v>
      </c>
      <c r="BQ18" s="44">
        <f t="shared" si="79"/>
        <v>70858.940329999998</v>
      </c>
      <c r="BR18" s="44">
        <f t="shared" si="79"/>
        <v>215383.72805999999</v>
      </c>
      <c r="BS18" s="44">
        <f t="shared" si="79"/>
        <v>79671.010539999988</v>
      </c>
      <c r="BT18" s="44">
        <f t="shared" si="79"/>
        <v>237232.99882000001</v>
      </c>
      <c r="BU18" s="44">
        <f t="shared" si="79"/>
        <v>99112.236929999985</v>
      </c>
      <c r="BV18" s="44">
        <f t="shared" si="79"/>
        <v>74986.63334</v>
      </c>
      <c r="BW18" s="44">
        <f t="shared" si="79"/>
        <v>7148.1257499999992</v>
      </c>
      <c r="BX18" s="44">
        <f t="shared" si="79"/>
        <v>90427.502779999995</v>
      </c>
      <c r="BY18" s="44">
        <f t="shared" si="79"/>
        <v>13332.681300000002</v>
      </c>
      <c r="BZ18" s="44">
        <f t="shared" si="79"/>
        <v>104076.26242999999</v>
      </c>
      <c r="CA18" s="44">
        <f t="shared" si="79"/>
        <v>22021.295330000001</v>
      </c>
      <c r="CB18" s="44">
        <f t="shared" si="79"/>
        <v>115886.90983999998</v>
      </c>
      <c r="CC18" s="44">
        <f t="shared" si="79"/>
        <v>30959.315440000002</v>
      </c>
      <c r="CD18" s="44">
        <f t="shared" si="79"/>
        <v>129119.83503999999</v>
      </c>
      <c r="CE18" s="44">
        <f t="shared" si="79"/>
        <v>39998.892970000001</v>
      </c>
      <c r="CF18" s="44">
        <f t="shared" si="79"/>
        <v>142654.86121999999</v>
      </c>
      <c r="CG18" s="44">
        <f t="shared" si="79"/>
        <v>45702.152699999999</v>
      </c>
      <c r="CH18" s="44">
        <f t="shared" si="79"/>
        <v>166573.37420999998</v>
      </c>
      <c r="CI18" s="44">
        <f t="shared" si="79"/>
        <v>50852.173389999996</v>
      </c>
      <c r="CJ18" s="44">
        <f t="shared" si="79"/>
        <v>188107.63295</v>
      </c>
      <c r="CK18" s="44">
        <f t="shared" si="79"/>
        <v>56823.867300000005</v>
      </c>
      <c r="CL18" s="44">
        <f t="shared" si="79"/>
        <v>204321.14075999998</v>
      </c>
      <c r="CM18" s="44">
        <f t="shared" si="79"/>
        <v>73160.331350000008</v>
      </c>
      <c r="CN18" s="44">
        <f t="shared" si="79"/>
        <v>221279.04149000003</v>
      </c>
      <c r="CO18" s="44">
        <f t="shared" si="79"/>
        <v>77932.170530000003</v>
      </c>
      <c r="CP18" s="44">
        <f t="shared" si="79"/>
        <v>230394.97524000003</v>
      </c>
      <c r="CQ18" s="44">
        <f t="shared" si="79"/>
        <v>83309.871660000004</v>
      </c>
      <c r="CR18" s="44">
        <f t="shared" si="79"/>
        <v>252974.43205000003</v>
      </c>
      <c r="CS18" s="44">
        <f t="shared" si="79"/>
        <v>98299.905920000019</v>
      </c>
      <c r="CT18" s="44">
        <f t="shared" si="79"/>
        <v>67134.398870000005</v>
      </c>
      <c r="CU18" s="44">
        <f t="shared" si="79"/>
        <v>8834.1773699999994</v>
      </c>
      <c r="CV18" s="44">
        <f t="shared" si="79"/>
        <v>81556.18624000001</v>
      </c>
      <c r="CW18" s="44">
        <f t="shared" si="79"/>
        <v>16382.932869999999</v>
      </c>
      <c r="CX18" s="44">
        <f t="shared" si="79"/>
        <v>101746.19534000001</v>
      </c>
      <c r="CY18" s="44">
        <f t="shared" si="79"/>
        <v>21203.920250000003</v>
      </c>
      <c r="CZ18" s="44">
        <f t="shared" si="79"/>
        <v>114186.00769000003</v>
      </c>
      <c r="DA18" s="44">
        <f t="shared" si="79"/>
        <v>28797.71371</v>
      </c>
      <c r="DB18" s="44">
        <f t="shared" si="79"/>
        <v>128261.55721999999</v>
      </c>
      <c r="DC18" s="44">
        <f t="shared" si="79"/>
        <v>34337.931749999996</v>
      </c>
      <c r="DD18" s="44">
        <f t="shared" si="79"/>
        <v>145833.68766</v>
      </c>
      <c r="DE18" s="44">
        <f t="shared" si="79"/>
        <v>44149.57445</v>
      </c>
      <c r="DF18" s="44">
        <f t="shared" si="79"/>
        <v>171048.99226999999</v>
      </c>
      <c r="DG18" s="44">
        <f t="shared" si="79"/>
        <v>51274.332150000002</v>
      </c>
      <c r="DH18" s="44">
        <f t="shared" si="79"/>
        <v>181299.18479</v>
      </c>
      <c r="DI18" s="44">
        <f t="shared" si="79"/>
        <v>67380.639920000001</v>
      </c>
      <c r="DJ18" s="44">
        <f t="shared" si="79"/>
        <v>205984.13920000001</v>
      </c>
      <c r="DK18" s="44">
        <f t="shared" si="79"/>
        <v>78842.8658</v>
      </c>
      <c r="DL18" s="44">
        <f t="shared" si="79"/>
        <v>220641.04246999999</v>
      </c>
      <c r="DM18" s="44">
        <f t="shared" si="79"/>
        <v>86778.724890000012</v>
      </c>
      <c r="DN18" s="44">
        <f t="shared" si="79"/>
        <v>237896.97021</v>
      </c>
      <c r="DO18" s="44">
        <f t="shared" si="79"/>
        <v>93481.872109999997</v>
      </c>
      <c r="DP18" s="44">
        <f t="shared" si="79"/>
        <v>266992.72054000001</v>
      </c>
      <c r="DQ18" s="45">
        <f t="shared" si="79"/>
        <v>103551.05820999999</v>
      </c>
      <c r="DR18" s="56">
        <f t="shared" si="79"/>
        <v>74118.37096</v>
      </c>
      <c r="DS18" s="57">
        <f t="shared" si="79"/>
        <v>4595.2581600000003</v>
      </c>
      <c r="DT18" s="48">
        <f t="shared" si="79"/>
        <v>91776.708909999987</v>
      </c>
      <c r="DU18" s="45">
        <f t="shared" si="79"/>
        <v>14465.836560000002</v>
      </c>
      <c r="DV18" s="46">
        <f t="shared" si="79"/>
        <v>105864.49341000001</v>
      </c>
      <c r="DW18" s="47">
        <f t="shared" si="79"/>
        <v>22022.07979</v>
      </c>
      <c r="DX18" s="48">
        <f t="shared" si="79"/>
        <v>121368.70580999998</v>
      </c>
      <c r="DY18" s="45">
        <f t="shared" si="79"/>
        <v>32074.435729999997</v>
      </c>
      <c r="DZ18" s="46">
        <f t="shared" ref="DZ18:EM18" si="80">DZ19+DZ23</f>
        <v>141397.81560999999</v>
      </c>
      <c r="EA18" s="47">
        <f t="shared" si="80"/>
        <v>39800.281489999994</v>
      </c>
      <c r="EB18" s="48">
        <f t="shared" si="80"/>
        <v>161146.64124000003</v>
      </c>
      <c r="EC18" s="45">
        <f t="shared" si="80"/>
        <v>47248.538959999998</v>
      </c>
      <c r="ED18" s="46">
        <f t="shared" si="80"/>
        <v>189695.21606000001</v>
      </c>
      <c r="EE18" s="47">
        <f t="shared" si="80"/>
        <v>54570.450969999998</v>
      </c>
      <c r="EF18" s="46">
        <f t="shared" si="80"/>
        <v>210898.81945000001</v>
      </c>
      <c r="EG18" s="49">
        <f t="shared" si="80"/>
        <v>62955.238810000003</v>
      </c>
      <c r="EH18" s="46">
        <f t="shared" si="80"/>
        <v>237507.90527999998</v>
      </c>
      <c r="EI18" s="49">
        <f t="shared" si="80"/>
        <v>70831.265650000001</v>
      </c>
      <c r="EJ18" s="46">
        <f t="shared" si="80"/>
        <v>250414.45931999997</v>
      </c>
      <c r="EK18" s="49">
        <f t="shared" si="80"/>
        <v>79611.823229999995</v>
      </c>
      <c r="EL18" s="46">
        <f t="shared" si="80"/>
        <v>271793.05158999999</v>
      </c>
      <c r="EM18" s="49">
        <f t="shared" si="80"/>
        <v>85691.984620000003</v>
      </c>
      <c r="EN18" s="46">
        <f t="shared" ref="EN18:EO18" si="81">EN19+EN23</f>
        <v>302982.01489999995</v>
      </c>
      <c r="EO18" s="49">
        <f t="shared" si="81"/>
        <v>92926.876449999996</v>
      </c>
      <c r="EP18" s="46">
        <f t="shared" ref="EP18:EQ18" si="82">EP19+EP23</f>
        <v>79175.38182000001</v>
      </c>
      <c r="EQ18" s="49">
        <f t="shared" si="82"/>
        <v>7197.0016399999995</v>
      </c>
      <c r="ER18" s="46">
        <f t="shared" ref="ER18:ES18" si="83">ER19+ER23</f>
        <v>101792.90627000001</v>
      </c>
      <c r="ES18" s="49">
        <f t="shared" si="83"/>
        <v>15073.834490000001</v>
      </c>
      <c r="ET18" s="46">
        <f t="shared" ref="ET18:EU18" si="84">ET19+ET23</f>
        <v>123977.90795000002</v>
      </c>
      <c r="EU18" s="49">
        <f t="shared" si="84"/>
        <v>23053.178050000002</v>
      </c>
      <c r="EV18" s="46">
        <f t="shared" ref="EV18:EW18" si="85">EV19+EV23</f>
        <v>136363.8547</v>
      </c>
      <c r="EW18" s="49">
        <f t="shared" si="85"/>
        <v>30963.307700000001</v>
      </c>
      <c r="EX18" s="46">
        <f t="shared" ref="EX18:EY18" si="86">EX19+EX23</f>
        <v>158776.48632</v>
      </c>
      <c r="EY18" s="49">
        <f t="shared" si="86"/>
        <v>39413.842329999999</v>
      </c>
      <c r="EZ18" s="46">
        <f t="shared" ref="EZ18:FA18" si="87">EZ19+EZ23</f>
        <v>181873.45157999999</v>
      </c>
      <c r="FA18" s="49">
        <f t="shared" si="87"/>
        <v>47545.767059999998</v>
      </c>
      <c r="FB18" s="46">
        <f t="shared" ref="FB18:FC18" si="88">FB19+FB23</f>
        <v>220980.31416000001</v>
      </c>
      <c r="FC18" s="49">
        <f t="shared" si="88"/>
        <v>55066.584840000003</v>
      </c>
      <c r="FD18" s="46">
        <f t="shared" ref="FD18:FE18" si="89">FD19+FD23</f>
        <v>241559.72872999997</v>
      </c>
      <c r="FE18" s="49">
        <f t="shared" si="89"/>
        <v>79647.148650000003</v>
      </c>
      <c r="FF18" s="46">
        <f t="shared" ref="FF18:FG18" si="90">FF19+FF23</f>
        <v>265225.86456999998</v>
      </c>
      <c r="FG18" s="49">
        <f t="shared" si="90"/>
        <v>99514.728659999993</v>
      </c>
      <c r="FH18" s="46">
        <f t="shared" ref="FH18:FI18" si="91">FH19+FH23</f>
        <v>289383.81342999998</v>
      </c>
      <c r="FI18" s="49">
        <f t="shared" si="91"/>
        <v>112808.68276</v>
      </c>
      <c r="FJ18" s="46">
        <f t="shared" ref="FJ18:FK18" si="92">FJ19+FJ23</f>
        <v>313880.29879000003</v>
      </c>
      <c r="FK18" s="49">
        <f t="shared" si="92"/>
        <v>126722.2098</v>
      </c>
      <c r="FL18" s="46">
        <f t="shared" ref="FL18:FM18" si="93">FL19+FL23</f>
        <v>342901.09450999997</v>
      </c>
      <c r="FM18" s="49">
        <f t="shared" si="93"/>
        <v>184459.15465000001</v>
      </c>
      <c r="FN18" s="46">
        <f t="shared" ref="FN18:FO18" si="94">FN19+FN23</f>
        <v>78134.730740000014</v>
      </c>
      <c r="FO18" s="49">
        <f t="shared" si="94"/>
        <v>8988.7858500000002</v>
      </c>
      <c r="FP18" s="46">
        <f t="shared" ref="FP18:FQ18" si="95">FP19+FP23</f>
        <v>103971.96161999999</v>
      </c>
      <c r="FQ18" s="49">
        <f t="shared" si="95"/>
        <v>19776.66993</v>
      </c>
      <c r="FR18" s="46">
        <f t="shared" ref="FR18:FS18" si="96">FR19+FR23</f>
        <v>122991.35738</v>
      </c>
      <c r="FS18" s="49">
        <f t="shared" si="96"/>
        <v>27718.616160000001</v>
      </c>
      <c r="FT18" s="46">
        <f t="shared" ref="FT18:FU18" si="97">FT19+FT23</f>
        <v>140579.91911000002</v>
      </c>
      <c r="FU18" s="49">
        <f t="shared" si="97"/>
        <v>39191.003989999997</v>
      </c>
      <c r="FV18" s="46">
        <f t="shared" ref="FV18:FW18" si="98">FV19+FV23</f>
        <v>164967.65536000003</v>
      </c>
      <c r="FW18" s="49">
        <f t="shared" si="98"/>
        <v>51381.093390000002</v>
      </c>
      <c r="FX18" s="46">
        <f t="shared" ref="FX18:FY18" si="99">FX19+FX23</f>
        <v>183335.65064000001</v>
      </c>
      <c r="FY18" s="49">
        <f t="shared" si="99"/>
        <v>61657.279950000004</v>
      </c>
      <c r="FZ18" s="46">
        <f t="shared" ref="FZ18:GA18" si="100">FZ19+FZ23</f>
        <v>223276.51675000001</v>
      </c>
      <c r="GA18" s="49">
        <f t="shared" si="100"/>
        <v>73289.875690000001</v>
      </c>
      <c r="GB18" s="46">
        <f t="shared" ref="GB18:GE18" si="101">GB19+GB23</f>
        <v>250407.32719000001</v>
      </c>
      <c r="GC18" s="49">
        <f t="shared" si="101"/>
        <v>83581.986620000011</v>
      </c>
      <c r="GD18" s="46">
        <f t="shared" si="101"/>
        <v>270202.67368000001</v>
      </c>
      <c r="GE18" s="49">
        <f t="shared" si="101"/>
        <v>94888.335649999994</v>
      </c>
      <c r="GF18" s="46">
        <f t="shared" ref="GF18:GG18" si="102">GF19+GF23</f>
        <v>288958.91263000004</v>
      </c>
      <c r="GG18" s="49">
        <f t="shared" si="102"/>
        <v>107352.72456</v>
      </c>
      <c r="GH18" s="46">
        <f t="shared" ref="GH18:GI18" si="103">GH19+GH23</f>
        <v>325021.13318999996</v>
      </c>
      <c r="GI18" s="49">
        <f t="shared" si="103"/>
        <v>121589.54968999999</v>
      </c>
      <c r="GJ18" s="46">
        <f t="shared" ref="GJ18:GK18" si="104">GJ19+GJ23</f>
        <v>367488.88739000005</v>
      </c>
      <c r="GK18" s="49">
        <f t="shared" si="104"/>
        <v>135545.01738999999</v>
      </c>
      <c r="GL18" s="46">
        <f t="shared" ref="GL18:GQ18" si="105">GL19+GL23</f>
        <v>84985.787609999999</v>
      </c>
      <c r="GM18" s="49">
        <f t="shared" si="105"/>
        <v>8431.6685499999985</v>
      </c>
      <c r="GN18" s="46">
        <f t="shared" si="105"/>
        <v>110000.65553</v>
      </c>
      <c r="GO18" s="49">
        <f t="shared" si="105"/>
        <v>17572.558149999997</v>
      </c>
      <c r="GP18" s="46">
        <f t="shared" si="105"/>
        <v>129825.70861999999</v>
      </c>
      <c r="GQ18" s="49">
        <f t="shared" si="105"/>
        <v>25606.523511767009</v>
      </c>
      <c r="GR18" s="46">
        <f t="shared" ref="GR18:GS18" si="106">GR19+GR23</f>
        <v>151378.80304999999</v>
      </c>
      <c r="GS18" s="49">
        <f t="shared" si="106"/>
        <v>40336.781899999994</v>
      </c>
      <c r="GT18" s="46">
        <f t="shared" ref="GT18:GU18" si="107">GT19+GT23</f>
        <v>177578.44017000002</v>
      </c>
      <c r="GU18" s="49">
        <f t="shared" si="107"/>
        <v>54282.363750000004</v>
      </c>
      <c r="GV18" s="46">
        <f t="shared" ref="GV18:GW18" si="108">GV19+GV23</f>
        <v>200519.97919000001</v>
      </c>
      <c r="GW18" s="49">
        <f t="shared" si="108"/>
        <v>63253.262309999991</v>
      </c>
      <c r="GX18" s="46">
        <f t="shared" ref="GX18:GY18" si="109">GX19+GX23</f>
        <v>244102.57681</v>
      </c>
      <c r="GY18" s="49">
        <f t="shared" si="109"/>
        <v>76045.439559999999</v>
      </c>
      <c r="GZ18" s="46">
        <f t="shared" ref="GZ18:HA18" si="110">GZ19+GZ23</f>
        <v>271447.35432000004</v>
      </c>
      <c r="HA18" s="49">
        <f t="shared" si="110"/>
        <v>87153.667710000009</v>
      </c>
      <c r="HB18" s="46">
        <f t="shared" ref="HB18:HC18" si="111">HB19+HB23</f>
        <v>298217.99712999997</v>
      </c>
      <c r="HC18" s="49">
        <f t="shared" si="111"/>
        <v>98043.148060000007</v>
      </c>
      <c r="HD18" s="46">
        <f t="shared" ref="HD18:HE18" si="112">HD19+HD23</f>
        <v>322554.26759000006</v>
      </c>
      <c r="HE18" s="49">
        <f t="shared" si="112"/>
        <v>109878.88028</v>
      </c>
      <c r="HF18" s="46">
        <f t="shared" ref="HF18:HG18" si="113">HF19+HF23</f>
        <v>350776.22792999999</v>
      </c>
      <c r="HG18" s="49">
        <f t="shared" si="113"/>
        <v>122994.30692</v>
      </c>
      <c r="HH18" s="46">
        <f t="shared" ref="HH18:HI18" si="114">HH19+HH23</f>
        <v>387407.45731000009</v>
      </c>
      <c r="HI18" s="49">
        <f t="shared" si="114"/>
        <v>136845.42579000001</v>
      </c>
      <c r="HJ18" s="46">
        <f t="shared" ref="HJ18:HK18" si="115">HJ19+HJ23</f>
        <v>78734.991000000009</v>
      </c>
      <c r="HK18" s="49">
        <f t="shared" si="115"/>
        <v>9593.8252300000004</v>
      </c>
      <c r="HL18" s="46">
        <f t="shared" ref="HL18:HM18" si="116">HL19+HL23</f>
        <v>116127.87759999999</v>
      </c>
      <c r="HM18" s="49">
        <f t="shared" si="116"/>
        <v>21020.617020000002</v>
      </c>
      <c r="HN18" s="46">
        <f t="shared" ref="HN18:HO18" si="117">HN19+HN23</f>
        <v>141885.04989000002</v>
      </c>
      <c r="HO18" s="49">
        <f t="shared" si="117"/>
        <v>28601.93187</v>
      </c>
      <c r="HP18" s="46">
        <f t="shared" ref="HP18:HQ18" si="118">HP19+HP23</f>
        <v>169263.19484000001</v>
      </c>
      <c r="HQ18" s="49">
        <f t="shared" si="118"/>
        <v>44581.617270000002</v>
      </c>
      <c r="HR18" s="46">
        <f t="shared" ref="HR18:HS18" si="119">HR19+HR23</f>
        <v>192618.17614</v>
      </c>
      <c r="HS18" s="49">
        <f t="shared" si="119"/>
        <v>56700.909689999993</v>
      </c>
      <c r="HT18" s="46">
        <f t="shared" ref="HT18:HU18" si="120">HT19+HT23</f>
        <v>235088.37398000003</v>
      </c>
      <c r="HU18" s="49">
        <f t="shared" si="120"/>
        <v>69440.933010000008</v>
      </c>
      <c r="HV18" s="46">
        <f t="shared" ref="HV18:HW18" si="121">HV19+HV23</f>
        <v>280897.97479999997</v>
      </c>
      <c r="HW18" s="49">
        <f t="shared" si="121"/>
        <v>82553.017749999999</v>
      </c>
      <c r="HX18" s="46">
        <f t="shared" ref="HX18:HY18" si="122">HX19+HX23</f>
        <v>304626.31271999999</v>
      </c>
      <c r="HY18" s="49">
        <f t="shared" si="122"/>
        <v>96921.098479999986</v>
      </c>
      <c r="HZ18" s="46">
        <f t="shared" ref="HZ18:IA18" si="123">HZ19+HZ23</f>
        <v>335080.08402000007</v>
      </c>
      <c r="IA18" s="49">
        <f t="shared" si="123"/>
        <v>109326.23967</v>
      </c>
      <c r="IB18" s="14" t="s">
        <v>43</v>
      </c>
    </row>
    <row r="19" spans="1:238" s="9" customFormat="1" ht="22.5" customHeight="1" x14ac:dyDescent="0.4">
      <c r="A19" s="14" t="s">
        <v>44</v>
      </c>
      <c r="B19" s="44">
        <f t="shared" ref="B19:BM19" si="124">SUM(B20:B22)</f>
        <v>37372.112400000005</v>
      </c>
      <c r="C19" s="44">
        <f t="shared" si="124"/>
        <v>4248.7987599999997</v>
      </c>
      <c r="D19" s="44">
        <f t="shared" si="124"/>
        <v>42583.509589999994</v>
      </c>
      <c r="E19" s="44">
        <f t="shared" si="124"/>
        <v>7537.5465299999996</v>
      </c>
      <c r="F19" s="44">
        <f t="shared" si="124"/>
        <v>45971.448519999998</v>
      </c>
      <c r="G19" s="44">
        <f t="shared" si="124"/>
        <v>11674.278690000001</v>
      </c>
      <c r="H19" s="44">
        <f t="shared" si="124"/>
        <v>49195.233030000003</v>
      </c>
      <c r="I19" s="44">
        <f t="shared" si="124"/>
        <v>13652.010689999999</v>
      </c>
      <c r="J19" s="44">
        <f t="shared" si="124"/>
        <v>52182.888779999994</v>
      </c>
      <c r="K19" s="44">
        <f t="shared" si="124"/>
        <v>17601.215499999998</v>
      </c>
      <c r="L19" s="44">
        <f t="shared" si="124"/>
        <v>55005.230880000003</v>
      </c>
      <c r="M19" s="44">
        <f t="shared" si="124"/>
        <v>25035.989460000004</v>
      </c>
      <c r="N19" s="44">
        <f t="shared" si="124"/>
        <v>59148.509539999999</v>
      </c>
      <c r="O19" s="44">
        <f t="shared" si="124"/>
        <v>30513.503420000001</v>
      </c>
      <c r="P19" s="44">
        <f t="shared" si="124"/>
        <v>67618.840830000001</v>
      </c>
      <c r="Q19" s="44">
        <f t="shared" si="124"/>
        <v>38842.810840000006</v>
      </c>
      <c r="R19" s="44">
        <f t="shared" si="124"/>
        <v>70587.364690000002</v>
      </c>
      <c r="S19" s="44">
        <f t="shared" si="124"/>
        <v>42771.857560000004</v>
      </c>
      <c r="T19" s="44">
        <f t="shared" si="124"/>
        <v>75220.040059999999</v>
      </c>
      <c r="U19" s="44">
        <f t="shared" si="124"/>
        <v>48387.544749999994</v>
      </c>
      <c r="V19" s="44">
        <f t="shared" si="124"/>
        <v>78813.529679999992</v>
      </c>
      <c r="W19" s="44">
        <f t="shared" si="124"/>
        <v>51324.791400000002</v>
      </c>
      <c r="X19" s="44">
        <f t="shared" si="124"/>
        <v>90538.533469999995</v>
      </c>
      <c r="Y19" s="44">
        <f t="shared" si="124"/>
        <v>53830.176339999998</v>
      </c>
      <c r="Z19" s="44">
        <f t="shared" si="124"/>
        <v>40209.123770000006</v>
      </c>
      <c r="AA19" s="44">
        <f t="shared" si="124"/>
        <v>5522.9358490000004</v>
      </c>
      <c r="AB19" s="44">
        <f t="shared" si="124"/>
        <v>44504.262790000001</v>
      </c>
      <c r="AC19" s="44">
        <f t="shared" si="124"/>
        <v>10600.519449999998</v>
      </c>
      <c r="AD19" s="44">
        <f t="shared" si="124"/>
        <v>48885.591220000002</v>
      </c>
      <c r="AE19" s="44">
        <f t="shared" si="124"/>
        <v>14770.360949999998</v>
      </c>
      <c r="AF19" s="44">
        <f t="shared" si="124"/>
        <v>51715.974569999998</v>
      </c>
      <c r="AG19" s="44">
        <f t="shared" si="124"/>
        <v>22121.669239999996</v>
      </c>
      <c r="AH19" s="44">
        <f t="shared" si="124"/>
        <v>55675.539490000003</v>
      </c>
      <c r="AI19" s="44">
        <f t="shared" si="124"/>
        <v>26849.59446</v>
      </c>
      <c r="AJ19" s="44">
        <f t="shared" si="124"/>
        <v>58432.950960000002</v>
      </c>
      <c r="AK19" s="44">
        <f t="shared" si="124"/>
        <v>30879.030510000001</v>
      </c>
      <c r="AL19" s="44">
        <f t="shared" si="124"/>
        <v>62246.382319999997</v>
      </c>
      <c r="AM19" s="44">
        <f t="shared" si="124"/>
        <v>35972.304459999999</v>
      </c>
      <c r="AN19" s="44">
        <f t="shared" si="124"/>
        <v>67331.330900000015</v>
      </c>
      <c r="AO19" s="44">
        <f t="shared" si="124"/>
        <v>41272.039729999997</v>
      </c>
      <c r="AP19" s="44">
        <f t="shared" si="124"/>
        <v>69798.794620000001</v>
      </c>
      <c r="AQ19" s="44">
        <f t="shared" si="124"/>
        <v>45171.77968</v>
      </c>
      <c r="AR19" s="44">
        <f t="shared" si="124"/>
        <v>77190.992299999998</v>
      </c>
      <c r="AS19" s="44">
        <f t="shared" si="124"/>
        <v>50009.036780000002</v>
      </c>
      <c r="AT19" s="44">
        <f t="shared" si="124"/>
        <v>81744.13625000001</v>
      </c>
      <c r="AU19" s="44">
        <f t="shared" si="124"/>
        <v>56650.44264999999</v>
      </c>
      <c r="AV19" s="44">
        <f t="shared" si="124"/>
        <v>94115.308440000008</v>
      </c>
      <c r="AW19" s="44">
        <f t="shared" si="124"/>
        <v>60556.948710000004</v>
      </c>
      <c r="AX19" s="44">
        <f t="shared" si="124"/>
        <v>46005.852270000003</v>
      </c>
      <c r="AY19" s="44">
        <f t="shared" si="124"/>
        <v>2061.9471199999998</v>
      </c>
      <c r="AZ19" s="44">
        <f t="shared" si="124"/>
        <v>53141.8511</v>
      </c>
      <c r="BA19" s="44">
        <f t="shared" si="124"/>
        <v>6869.1354499999998</v>
      </c>
      <c r="BB19" s="44">
        <f t="shared" si="124"/>
        <v>58355.291659999995</v>
      </c>
      <c r="BC19" s="44">
        <f t="shared" si="124"/>
        <v>11013.159240000001</v>
      </c>
      <c r="BD19" s="44">
        <f t="shared" si="124"/>
        <v>61993.944970000004</v>
      </c>
      <c r="BE19" s="44">
        <f t="shared" si="124"/>
        <v>17298.807819999998</v>
      </c>
      <c r="BF19" s="44">
        <f t="shared" si="124"/>
        <v>66209.337079999998</v>
      </c>
      <c r="BG19" s="44">
        <f t="shared" si="124"/>
        <v>22851.866050000004</v>
      </c>
      <c r="BH19" s="44">
        <f t="shared" si="124"/>
        <v>68738.498389999993</v>
      </c>
      <c r="BI19" s="44">
        <f t="shared" si="124"/>
        <v>29349.534360000001</v>
      </c>
      <c r="BJ19" s="44">
        <f t="shared" si="124"/>
        <v>72094.123869999996</v>
      </c>
      <c r="BK19" s="44">
        <f t="shared" si="124"/>
        <v>30645.434860000001</v>
      </c>
      <c r="BL19" s="44">
        <f t="shared" si="124"/>
        <v>76503.503180000014</v>
      </c>
      <c r="BM19" s="44">
        <f t="shared" si="124"/>
        <v>38872.347400000006</v>
      </c>
      <c r="BN19" s="44">
        <f t="shared" ref="BN19:DY19" si="125">SUM(BN20:BN22)</f>
        <v>79464.257310000001</v>
      </c>
      <c r="BO19" s="44">
        <f t="shared" si="125"/>
        <v>43947.861150000004</v>
      </c>
      <c r="BP19" s="44">
        <f t="shared" si="125"/>
        <v>87895.090349999999</v>
      </c>
      <c r="BQ19" s="44">
        <f t="shared" si="125"/>
        <v>50351.538529999998</v>
      </c>
      <c r="BR19" s="44">
        <f t="shared" si="125"/>
        <v>92484.691080000004</v>
      </c>
      <c r="BS19" s="44">
        <f t="shared" si="125"/>
        <v>57665.661219999995</v>
      </c>
      <c r="BT19" s="44">
        <f t="shared" si="125"/>
        <v>104119.88130000001</v>
      </c>
      <c r="BU19" s="44">
        <f t="shared" si="125"/>
        <v>61418.520329999999</v>
      </c>
      <c r="BV19" s="44">
        <f t="shared" si="125"/>
        <v>52312.700140000008</v>
      </c>
      <c r="BW19" s="44">
        <f t="shared" si="125"/>
        <v>5770.2693399999998</v>
      </c>
      <c r="BX19" s="44">
        <f t="shared" si="125"/>
        <v>58536.787439999993</v>
      </c>
      <c r="BY19" s="44">
        <f t="shared" si="125"/>
        <v>10128.889360000001</v>
      </c>
      <c r="BZ19" s="44">
        <f t="shared" si="125"/>
        <v>64100.895129999997</v>
      </c>
      <c r="CA19" s="44">
        <f t="shared" si="125"/>
        <v>17082.475310000002</v>
      </c>
      <c r="CB19" s="44">
        <f t="shared" si="125"/>
        <v>68548.851809999993</v>
      </c>
      <c r="CC19" s="44">
        <f t="shared" si="125"/>
        <v>23565.561130000002</v>
      </c>
      <c r="CD19" s="44">
        <f t="shared" si="125"/>
        <v>71941.476269999999</v>
      </c>
      <c r="CE19" s="44">
        <f t="shared" si="125"/>
        <v>31207.557690000001</v>
      </c>
      <c r="CF19" s="44">
        <f t="shared" si="125"/>
        <v>73891.928550000011</v>
      </c>
      <c r="CG19" s="44">
        <f t="shared" si="125"/>
        <v>35839.785349999998</v>
      </c>
      <c r="CH19" s="44">
        <f t="shared" si="125"/>
        <v>76568.637229999993</v>
      </c>
      <c r="CI19" s="44">
        <f t="shared" si="125"/>
        <v>39621.402730000002</v>
      </c>
      <c r="CJ19" s="44">
        <f t="shared" si="125"/>
        <v>79404.565139999992</v>
      </c>
      <c r="CK19" s="44">
        <f t="shared" si="125"/>
        <v>43912.920020000005</v>
      </c>
      <c r="CL19" s="44">
        <f t="shared" si="125"/>
        <v>82045.395629999985</v>
      </c>
      <c r="CM19" s="44">
        <f t="shared" si="125"/>
        <v>47658.800580000003</v>
      </c>
      <c r="CN19" s="44">
        <f t="shared" si="125"/>
        <v>91184.410970000012</v>
      </c>
      <c r="CO19" s="44">
        <f t="shared" si="125"/>
        <v>51265.796969999996</v>
      </c>
      <c r="CP19" s="44">
        <f t="shared" si="125"/>
        <v>94158.971699999995</v>
      </c>
      <c r="CQ19" s="44">
        <f t="shared" si="125"/>
        <v>54691.918300000005</v>
      </c>
      <c r="CR19" s="44">
        <f t="shared" si="125"/>
        <v>105894.23261000001</v>
      </c>
      <c r="CS19" s="44">
        <f t="shared" si="125"/>
        <v>68336.312490000011</v>
      </c>
      <c r="CT19" s="44">
        <f t="shared" si="125"/>
        <v>51300.774949999999</v>
      </c>
      <c r="CU19" s="44">
        <f t="shared" si="125"/>
        <v>7758.96155</v>
      </c>
      <c r="CV19" s="44">
        <f t="shared" si="125"/>
        <v>56114.901080000003</v>
      </c>
      <c r="CW19" s="44">
        <f t="shared" si="125"/>
        <v>14000.513139999999</v>
      </c>
      <c r="CX19" s="44">
        <f t="shared" si="125"/>
        <v>62812.205650000004</v>
      </c>
      <c r="CY19" s="44">
        <f t="shared" si="125"/>
        <v>17094.457780000001</v>
      </c>
      <c r="CZ19" s="44">
        <f t="shared" si="125"/>
        <v>67497.887520000004</v>
      </c>
      <c r="DA19" s="44">
        <f t="shared" si="125"/>
        <v>20896.524519999999</v>
      </c>
      <c r="DB19" s="44">
        <f t="shared" si="125"/>
        <v>71385.375579999993</v>
      </c>
      <c r="DC19" s="44">
        <f t="shared" si="125"/>
        <v>24848.92885</v>
      </c>
      <c r="DD19" s="44">
        <f t="shared" si="125"/>
        <v>72750.005999999994</v>
      </c>
      <c r="DE19" s="44">
        <f t="shared" si="125"/>
        <v>32379.564149999998</v>
      </c>
      <c r="DF19" s="44">
        <f t="shared" si="125"/>
        <v>75753.515640000012</v>
      </c>
      <c r="DG19" s="44">
        <f t="shared" si="125"/>
        <v>38000.779880000002</v>
      </c>
      <c r="DH19" s="44">
        <f t="shared" si="125"/>
        <v>78883.770880000011</v>
      </c>
      <c r="DI19" s="44">
        <f t="shared" si="125"/>
        <v>52597.885399999999</v>
      </c>
      <c r="DJ19" s="44">
        <f t="shared" si="125"/>
        <v>88283.580530000007</v>
      </c>
      <c r="DK19" s="44">
        <f t="shared" si="125"/>
        <v>61957.334000000003</v>
      </c>
      <c r="DL19" s="44">
        <f t="shared" si="125"/>
        <v>92436.9755</v>
      </c>
      <c r="DM19" s="44">
        <f t="shared" si="125"/>
        <v>68061.364280000009</v>
      </c>
      <c r="DN19" s="44">
        <f t="shared" si="125"/>
        <v>100737.11676</v>
      </c>
      <c r="DO19" s="44">
        <f t="shared" si="125"/>
        <v>72678.363270000002</v>
      </c>
      <c r="DP19" s="44">
        <f t="shared" si="125"/>
        <v>108360.94007</v>
      </c>
      <c r="DQ19" s="45">
        <f t="shared" si="125"/>
        <v>79370.927169999995</v>
      </c>
      <c r="DR19" s="46">
        <f t="shared" si="125"/>
        <v>57474.470570000005</v>
      </c>
      <c r="DS19" s="57">
        <f t="shared" si="125"/>
        <v>3315.0377400000002</v>
      </c>
      <c r="DT19" s="48">
        <f t="shared" si="125"/>
        <v>63031.962629999995</v>
      </c>
      <c r="DU19" s="45">
        <f t="shared" si="125"/>
        <v>11316.880000000001</v>
      </c>
      <c r="DV19" s="46">
        <f t="shared" si="125"/>
        <v>69010.02234000001</v>
      </c>
      <c r="DW19" s="47">
        <f t="shared" si="125"/>
        <v>17566.1417</v>
      </c>
      <c r="DX19" s="48">
        <f t="shared" si="125"/>
        <v>74554.244309999995</v>
      </c>
      <c r="DY19" s="45">
        <f t="shared" si="125"/>
        <v>25646.957709999999</v>
      </c>
      <c r="DZ19" s="46">
        <f t="shared" ref="DZ19:EM19" si="126">SUM(DZ20:DZ22)</f>
        <v>78283.455489999993</v>
      </c>
      <c r="EA19" s="47">
        <f t="shared" si="126"/>
        <v>31667.424629999998</v>
      </c>
      <c r="EB19" s="48">
        <f t="shared" si="126"/>
        <v>81188.42859000001</v>
      </c>
      <c r="EC19" s="45">
        <f t="shared" si="126"/>
        <v>37711.865109999999</v>
      </c>
      <c r="ED19" s="46">
        <f t="shared" si="126"/>
        <v>85507.407389999993</v>
      </c>
      <c r="EE19" s="47">
        <f t="shared" si="126"/>
        <v>43743.779349999997</v>
      </c>
      <c r="EF19" s="46">
        <f t="shared" si="126"/>
        <v>90024.429459999985</v>
      </c>
      <c r="EG19" s="49">
        <f t="shared" si="126"/>
        <v>50469.114970000002</v>
      </c>
      <c r="EH19" s="46">
        <f t="shared" si="126"/>
        <v>99362.015879999992</v>
      </c>
      <c r="EI19" s="49">
        <f t="shared" si="126"/>
        <v>56341.236720000001</v>
      </c>
      <c r="EJ19" s="46">
        <f t="shared" si="126"/>
        <v>102896.23169999999</v>
      </c>
      <c r="EK19" s="49">
        <f t="shared" si="126"/>
        <v>62218.579299999998</v>
      </c>
      <c r="EL19" s="46">
        <f t="shared" si="126"/>
        <v>113899.70667</v>
      </c>
      <c r="EM19" s="49">
        <f t="shared" si="126"/>
        <v>66718.112229999999</v>
      </c>
      <c r="EN19" s="46">
        <f t="shared" ref="EN19:EO19" si="127">SUM(EN20:EN22)</f>
        <v>121325.39498</v>
      </c>
      <c r="EO19" s="49">
        <f t="shared" si="127"/>
        <v>70951.105909999998</v>
      </c>
      <c r="EP19" s="46">
        <f t="shared" ref="EP19:EQ19" si="128">SUM(EP20:EP22)</f>
        <v>58264.887490000001</v>
      </c>
      <c r="EQ19" s="49">
        <f t="shared" si="128"/>
        <v>5676.5604899999998</v>
      </c>
      <c r="ER19" s="46">
        <f t="shared" ref="ER19:ES19" si="129">SUM(ER20:ER22)</f>
        <v>66073.408439999999</v>
      </c>
      <c r="ES19" s="49">
        <f t="shared" si="129"/>
        <v>11391.756340000002</v>
      </c>
      <c r="ET19" s="46">
        <f t="shared" ref="ET19:EU19" si="130">SUM(ET20:ET22)</f>
        <v>72347.584730000017</v>
      </c>
      <c r="EU19" s="49">
        <f t="shared" si="130"/>
        <v>17141.65797</v>
      </c>
      <c r="EV19" s="46">
        <f t="shared" ref="EV19:EW19" si="131">SUM(EV20:EV22)</f>
        <v>75095.224599999987</v>
      </c>
      <c r="EW19" s="49">
        <f t="shared" si="131"/>
        <v>22873.089630000002</v>
      </c>
      <c r="EX19" s="46">
        <f t="shared" ref="EX19:EY19" si="132">SUM(EX20:EX22)</f>
        <v>82006.900949999996</v>
      </c>
      <c r="EY19" s="49">
        <f t="shared" si="132"/>
        <v>29097.235810000002</v>
      </c>
      <c r="EZ19" s="46">
        <f t="shared" ref="EZ19:FA19" si="133">SUM(EZ20:EZ22)</f>
        <v>86230.268629999991</v>
      </c>
      <c r="FA19" s="49">
        <f t="shared" si="133"/>
        <v>35345.65178</v>
      </c>
      <c r="FB19" s="46">
        <f t="shared" ref="FB19:FC19" si="134">SUM(FB20:FB22)</f>
        <v>91642.57415</v>
      </c>
      <c r="FC19" s="49">
        <f t="shared" si="134"/>
        <v>41272.525150000001</v>
      </c>
      <c r="FD19" s="46">
        <f t="shared" ref="FD19:FE19" si="135">SUM(FD20:FD22)</f>
        <v>98299.336039999995</v>
      </c>
      <c r="FE19" s="49">
        <f t="shared" si="135"/>
        <v>48945.834940000001</v>
      </c>
      <c r="FF19" s="46">
        <f t="shared" ref="FF19:FG19" si="136">SUM(FF20:FF22)</f>
        <v>107851.44128</v>
      </c>
      <c r="FG19" s="49">
        <f t="shared" si="136"/>
        <v>55969.834749999995</v>
      </c>
      <c r="FH19" s="46">
        <f t="shared" ref="FH19:FI19" si="137">SUM(FH20:FH22)</f>
        <v>112818.34257000001</v>
      </c>
      <c r="FI19" s="49">
        <f t="shared" si="137"/>
        <v>64126.038759999996</v>
      </c>
      <c r="FJ19" s="46">
        <f t="shared" ref="FJ19:FK19" si="138">SUM(FJ20:FJ22)</f>
        <v>122722.77893</v>
      </c>
      <c r="FK19" s="49">
        <f t="shared" si="138"/>
        <v>74151.326990000001</v>
      </c>
      <c r="FL19" s="46">
        <f t="shared" ref="FL19:FM19" si="139">SUM(FL20:FL22)</f>
        <v>132021.74262</v>
      </c>
      <c r="FM19" s="49">
        <f t="shared" si="139"/>
        <v>83086.649990000005</v>
      </c>
      <c r="FN19" s="46">
        <f t="shared" ref="FN19:FO19" si="140">SUM(FN20:FN22)</f>
        <v>52738.81990000001</v>
      </c>
      <c r="FO19" s="49">
        <f t="shared" si="140"/>
        <v>6269.7092500000008</v>
      </c>
      <c r="FP19" s="46">
        <f t="shared" ref="FP19:FQ19" si="141">SUM(FP20:FP22)</f>
        <v>64245.839520000001</v>
      </c>
      <c r="FQ19" s="49">
        <f t="shared" si="141"/>
        <v>14353.061879999999</v>
      </c>
      <c r="FR19" s="46">
        <f t="shared" ref="FR19:FS19" si="142">SUM(FR20:FR22)</f>
        <v>70543.719660000002</v>
      </c>
      <c r="FS19" s="49">
        <f t="shared" si="142"/>
        <v>20423.46471</v>
      </c>
      <c r="FT19" s="46">
        <f t="shared" ref="FT19:FU19" si="143">SUM(FT20:FT22)</f>
        <v>74147.255000000005</v>
      </c>
      <c r="FU19" s="49">
        <f t="shared" si="143"/>
        <v>29143.358389999998</v>
      </c>
      <c r="FV19" s="46">
        <f t="shared" ref="FV19:FW19" si="144">SUM(FV20:FV22)</f>
        <v>80815.908060000002</v>
      </c>
      <c r="FW19" s="49">
        <f t="shared" si="144"/>
        <v>38087.87485</v>
      </c>
      <c r="FX19" s="46">
        <f t="shared" ref="FX19:FY19" si="145">SUM(FX20:FX22)</f>
        <v>85525.614350000003</v>
      </c>
      <c r="FY19" s="49">
        <f t="shared" si="145"/>
        <v>45427.816180000002</v>
      </c>
      <c r="FZ19" s="46">
        <f t="shared" ref="FZ19:GA19" si="146">SUM(FZ20:FZ22)</f>
        <v>93151.414140000008</v>
      </c>
      <c r="GA19" s="49">
        <f t="shared" si="146"/>
        <v>54521.129830000005</v>
      </c>
      <c r="GB19" s="46">
        <f t="shared" ref="GB19:GE19" si="147">SUM(GB20:GB22)</f>
        <v>100696.22474999999</v>
      </c>
      <c r="GC19" s="49">
        <f t="shared" si="147"/>
        <v>62498.382510000003</v>
      </c>
      <c r="GD19" s="46">
        <f t="shared" si="147"/>
        <v>103916.33487999999</v>
      </c>
      <c r="GE19" s="49">
        <f t="shared" si="147"/>
        <v>71255.674549999996</v>
      </c>
      <c r="GF19" s="46">
        <f t="shared" ref="GF19:GG19" si="148">SUM(GF20:GF22)</f>
        <v>110124.04721</v>
      </c>
      <c r="GG19" s="49">
        <f t="shared" si="148"/>
        <v>80406.76771</v>
      </c>
      <c r="GH19" s="46">
        <f t="shared" ref="GH19:GI19" si="149">SUM(GH20:GH22)</f>
        <v>123384.81478999999</v>
      </c>
      <c r="GI19" s="49">
        <f t="shared" si="149"/>
        <v>88818.401179999986</v>
      </c>
      <c r="GJ19" s="46">
        <f t="shared" ref="GJ19:GK19" si="150">SUM(GJ20:GJ22)</f>
        <v>133982.21635</v>
      </c>
      <c r="GK19" s="49">
        <f t="shared" si="150"/>
        <v>97620.669129999995</v>
      </c>
      <c r="GL19" s="46">
        <f t="shared" ref="GL19:GQ19" si="151">SUM(GL20:GL22)</f>
        <v>59483.902260000003</v>
      </c>
      <c r="GM19" s="49">
        <f t="shared" si="151"/>
        <v>5020.9840799999993</v>
      </c>
      <c r="GN19" s="46">
        <f t="shared" si="151"/>
        <v>69692.056360000002</v>
      </c>
      <c r="GO19" s="49">
        <f t="shared" si="151"/>
        <v>11546.043289999998</v>
      </c>
      <c r="GP19" s="46">
        <f t="shared" si="151"/>
        <v>77070.740279999998</v>
      </c>
      <c r="GQ19" s="49">
        <f t="shared" si="151"/>
        <v>17097.041751767007</v>
      </c>
      <c r="GR19" s="46">
        <f t="shared" ref="GR19:GS19" si="152">SUM(GR20:GR22)</f>
        <v>80560.87</v>
      </c>
      <c r="GS19" s="49">
        <f t="shared" si="152"/>
        <v>26955.953769999996</v>
      </c>
      <c r="GT19" s="46">
        <f t="shared" ref="GT19:GU19" si="153">SUM(GT20:GT22)</f>
        <v>88225.541669999991</v>
      </c>
      <c r="GU19" s="49">
        <f t="shared" si="153"/>
        <v>36735.547149999999</v>
      </c>
      <c r="GV19" s="46">
        <f t="shared" ref="GV19:GW19" si="154">SUM(GV20:GV22)</f>
        <v>93559.476200000005</v>
      </c>
      <c r="GW19" s="49">
        <f t="shared" si="154"/>
        <v>43025.226269999992</v>
      </c>
      <c r="GX19" s="46">
        <f t="shared" ref="GX19:GY19" si="155">SUM(GX20:GX22)</f>
        <v>99291.395000000004</v>
      </c>
      <c r="GY19" s="49">
        <f t="shared" si="155"/>
        <v>51498.662750000003</v>
      </c>
      <c r="GZ19" s="46">
        <f t="shared" ref="GZ19:HA19" si="156">SUM(GZ20:GZ22)</f>
        <v>110155.97889</v>
      </c>
      <c r="HA19" s="49">
        <f t="shared" si="156"/>
        <v>59553.165800000002</v>
      </c>
      <c r="HB19" s="46">
        <f t="shared" ref="HB19:HC19" si="157">SUM(HB20:HB22)</f>
        <v>115553.03443</v>
      </c>
      <c r="HC19" s="49">
        <f t="shared" si="157"/>
        <v>66714.453410000002</v>
      </c>
      <c r="HD19" s="46">
        <f t="shared" ref="HD19:HE19" si="158">SUM(HD20:HD22)</f>
        <v>126302.60145</v>
      </c>
      <c r="HE19" s="49">
        <f t="shared" si="158"/>
        <v>74935.638550000003</v>
      </c>
      <c r="HF19" s="46">
        <f t="shared" ref="HF19:HG19" si="159">SUM(HF20:HF22)</f>
        <v>134185.02974</v>
      </c>
      <c r="HG19" s="49">
        <f t="shared" si="159"/>
        <v>82411.885020000002</v>
      </c>
      <c r="HH19" s="46">
        <f t="shared" ref="HH19:HI19" si="160">SUM(HH20:HH22)</f>
        <v>146529.04314000002</v>
      </c>
      <c r="HI19" s="49">
        <f t="shared" si="160"/>
        <v>90371.654559999995</v>
      </c>
      <c r="HJ19" s="46">
        <f t="shared" ref="HJ19:HK19" si="161">SUM(HJ20:HJ22)</f>
        <v>52740.176040000006</v>
      </c>
      <c r="HK19" s="49">
        <f t="shared" si="161"/>
        <v>6944.8742600000005</v>
      </c>
      <c r="HL19" s="46">
        <f t="shared" ref="HL19:HM19" si="162">SUM(HL20:HL22)</f>
        <v>68249.875139999989</v>
      </c>
      <c r="HM19" s="49">
        <f t="shared" si="162"/>
        <v>14267.04412</v>
      </c>
      <c r="HN19" s="46">
        <f t="shared" ref="HN19:HO19" si="163">SUM(HN20:HN22)</f>
        <v>75983.78</v>
      </c>
      <c r="HO19" s="49">
        <f t="shared" si="163"/>
        <v>19031.961749999999</v>
      </c>
      <c r="HP19" s="46">
        <f t="shared" ref="HP19:HQ19" si="164">SUM(HP20:HP22)</f>
        <v>81034.315320000009</v>
      </c>
      <c r="HQ19" s="49">
        <f t="shared" si="164"/>
        <v>30206.966660000002</v>
      </c>
      <c r="HR19" s="46">
        <f t="shared" ref="HR19:HS19" si="165">SUM(HR20:HR22)</f>
        <v>88301.877629999988</v>
      </c>
      <c r="HS19" s="49">
        <f t="shared" si="165"/>
        <v>38242.705779999997</v>
      </c>
      <c r="HT19" s="46">
        <f t="shared" ref="HT19:HU19" si="166">SUM(HT20:HT22)</f>
        <v>95680.183659999995</v>
      </c>
      <c r="HU19" s="49">
        <f t="shared" si="166"/>
        <v>46781.9421</v>
      </c>
      <c r="HV19" s="46">
        <f t="shared" ref="HV19:HW19" si="167">SUM(HV20:HV22)</f>
        <v>101617.83054999998</v>
      </c>
      <c r="HW19" s="49">
        <f t="shared" si="167"/>
        <v>55088.853279999996</v>
      </c>
      <c r="HX19" s="46">
        <f t="shared" ref="HX19:HY19" si="168">SUM(HX20:HX22)</f>
        <v>108047.88137</v>
      </c>
      <c r="HY19" s="49">
        <f t="shared" si="168"/>
        <v>64757.697189999992</v>
      </c>
      <c r="HZ19" s="46">
        <f t="shared" ref="HZ19:IA19" si="169">SUM(HZ20:HZ22)</f>
        <v>115482.78596000001</v>
      </c>
      <c r="IA19" s="49">
        <f t="shared" si="169"/>
        <v>72019.589839999986</v>
      </c>
      <c r="IB19" s="14" t="s">
        <v>45</v>
      </c>
    </row>
    <row r="20" spans="1:238" s="9" customFormat="1" ht="22.5" customHeight="1" x14ac:dyDescent="0.4">
      <c r="A20" s="15" t="s">
        <v>46</v>
      </c>
      <c r="B20" s="50">
        <v>36855.467840000005</v>
      </c>
      <c r="C20" s="50">
        <v>4223.4009699999997</v>
      </c>
      <c r="D20" s="50">
        <v>41592.193479999994</v>
      </c>
      <c r="E20" s="50">
        <v>7453.8695399999997</v>
      </c>
      <c r="F20" s="50">
        <v>44552.182160000004</v>
      </c>
      <c r="G20" s="50">
        <v>11513.764770000002</v>
      </c>
      <c r="H20" s="50">
        <v>47368.419240000003</v>
      </c>
      <c r="I20" s="50">
        <v>13374.605599999999</v>
      </c>
      <c r="J20" s="50">
        <v>49480.949919999999</v>
      </c>
      <c r="K20" s="50">
        <v>17279.188249999999</v>
      </c>
      <c r="L20" s="50">
        <v>51652.408880000003</v>
      </c>
      <c r="M20" s="50">
        <v>24676.620870000002</v>
      </c>
      <c r="N20" s="50">
        <v>54965.031229999993</v>
      </c>
      <c r="O20" s="50">
        <v>30063.065139999999</v>
      </c>
      <c r="P20" s="50">
        <v>62634.10916</v>
      </c>
      <c r="Q20" s="50">
        <v>38342.955590000005</v>
      </c>
      <c r="R20" s="50">
        <v>64981.929259999997</v>
      </c>
      <c r="S20" s="50">
        <v>42117.39183</v>
      </c>
      <c r="T20" s="50">
        <v>68920.698109999998</v>
      </c>
      <c r="U20" s="50">
        <v>47669.271719999997</v>
      </c>
      <c r="V20" s="50">
        <v>72091.449909999996</v>
      </c>
      <c r="W20" s="50">
        <v>50555.007369999999</v>
      </c>
      <c r="X20" s="50">
        <v>83165.692020000002</v>
      </c>
      <c r="Y20" s="50">
        <v>53002.789250000002</v>
      </c>
      <c r="Z20" s="50">
        <v>39815.647560000005</v>
      </c>
      <c r="AA20" s="50">
        <v>5501.3439989999997</v>
      </c>
      <c r="AB20" s="50">
        <v>43646.11735</v>
      </c>
      <c r="AC20" s="50">
        <v>10549.742969999999</v>
      </c>
      <c r="AD20" s="50">
        <v>47638.961340000002</v>
      </c>
      <c r="AE20" s="50">
        <v>14682.801039999998</v>
      </c>
      <c r="AF20" s="50">
        <v>50025.840640000002</v>
      </c>
      <c r="AG20" s="50">
        <v>21743.686329999997</v>
      </c>
      <c r="AH20" s="50">
        <v>53221.124510000001</v>
      </c>
      <c r="AI20" s="50">
        <v>26380.90913</v>
      </c>
      <c r="AJ20" s="50">
        <v>55231.308799999999</v>
      </c>
      <c r="AK20" s="50">
        <v>30274.633429999998</v>
      </c>
      <c r="AL20" s="50">
        <v>58286.213939999994</v>
      </c>
      <c r="AM20" s="50">
        <v>35357.156360000001</v>
      </c>
      <c r="AN20" s="50">
        <v>62535.477770000005</v>
      </c>
      <c r="AO20" s="50">
        <v>40551.54664</v>
      </c>
      <c r="AP20" s="50">
        <v>64201.595569999998</v>
      </c>
      <c r="AQ20" s="50">
        <v>44349.687729999998</v>
      </c>
      <c r="AR20" s="50">
        <v>71106.855249999993</v>
      </c>
      <c r="AS20" s="50">
        <v>49084.84635</v>
      </c>
      <c r="AT20" s="50">
        <v>75050.078959999999</v>
      </c>
      <c r="AU20" s="50">
        <v>55681.897979999994</v>
      </c>
      <c r="AV20" s="50">
        <v>87057.252340000006</v>
      </c>
      <c r="AW20" s="50">
        <v>59484.608919999999</v>
      </c>
      <c r="AX20" s="50">
        <v>45603.760670000003</v>
      </c>
      <c r="AY20" s="50">
        <v>2042.38777</v>
      </c>
      <c r="AZ20" s="50">
        <v>52214.416060000003</v>
      </c>
      <c r="BA20" s="50">
        <v>6823.1878899999992</v>
      </c>
      <c r="BB20" s="50">
        <v>56920.007789999996</v>
      </c>
      <c r="BC20" s="50">
        <v>10916.495570000001</v>
      </c>
      <c r="BD20" s="50">
        <v>60202.252340000006</v>
      </c>
      <c r="BE20" s="50">
        <v>17102.411329999999</v>
      </c>
      <c r="BF20" s="50">
        <v>63773.26483</v>
      </c>
      <c r="BG20" s="50">
        <v>22575.893190000003</v>
      </c>
      <c r="BH20" s="50">
        <v>65582.287729999996</v>
      </c>
      <c r="BI20" s="50">
        <v>29014.568859999999</v>
      </c>
      <c r="BJ20" s="50">
        <v>67850.978480000005</v>
      </c>
      <c r="BK20" s="50">
        <v>30198.81954</v>
      </c>
      <c r="BL20" s="50">
        <v>71341.365900000004</v>
      </c>
      <c r="BM20" s="50">
        <v>38368.316210000005</v>
      </c>
      <c r="BN20" s="50">
        <v>73200.919330000004</v>
      </c>
      <c r="BO20" s="50">
        <v>43322.595600000001</v>
      </c>
      <c r="BP20" s="50">
        <v>80998.588329999999</v>
      </c>
      <c r="BQ20" s="50">
        <v>49598.184939999999</v>
      </c>
      <c r="BR20" s="50">
        <v>84867.158660000001</v>
      </c>
      <c r="BS20" s="50">
        <v>56829.965979999994</v>
      </c>
      <c r="BT20" s="50">
        <v>95825.485060000006</v>
      </c>
      <c r="BU20" s="50">
        <v>60492.939599999998</v>
      </c>
      <c r="BV20" s="50">
        <v>51808.393630000006</v>
      </c>
      <c r="BW20" s="50">
        <v>5712.2097000000003</v>
      </c>
      <c r="BX20" s="50">
        <v>57258.143509999994</v>
      </c>
      <c r="BY20" s="50">
        <v>10033.067570000001</v>
      </c>
      <c r="BZ20" s="50">
        <v>62525.213899999995</v>
      </c>
      <c r="CA20" s="50">
        <v>16917.075230000002</v>
      </c>
      <c r="CB20" s="50">
        <v>66858.9951</v>
      </c>
      <c r="CC20" s="50">
        <v>23316.247940000001</v>
      </c>
      <c r="CD20" s="50">
        <v>69997.879620000007</v>
      </c>
      <c r="CE20" s="50">
        <v>30914.457420000002</v>
      </c>
      <c r="CF20" s="50">
        <v>71799.90615000001</v>
      </c>
      <c r="CG20" s="50">
        <v>35523.535389999997</v>
      </c>
      <c r="CH20" s="50">
        <v>74212.756599999993</v>
      </c>
      <c r="CI20" s="50">
        <v>39280.847289999998</v>
      </c>
      <c r="CJ20" s="50">
        <v>76767.961779999998</v>
      </c>
      <c r="CK20" s="50">
        <v>43519.488990000005</v>
      </c>
      <c r="CL20" s="50">
        <v>78638.838569999993</v>
      </c>
      <c r="CM20" s="50">
        <v>47250.66893</v>
      </c>
      <c r="CN20" s="50">
        <v>87387.166540000006</v>
      </c>
      <c r="CO20" s="50">
        <v>50832.521729999993</v>
      </c>
      <c r="CP20" s="50">
        <v>90236.1875</v>
      </c>
      <c r="CQ20" s="50">
        <v>54254.09259</v>
      </c>
      <c r="CR20" s="50">
        <v>101564.62347000001</v>
      </c>
      <c r="CS20" s="50">
        <v>67869.50877</v>
      </c>
      <c r="CT20" s="50">
        <v>51090.430200000003</v>
      </c>
      <c r="CU20" s="50">
        <v>7752.3820999999998</v>
      </c>
      <c r="CV20" s="50">
        <v>55666.613340000004</v>
      </c>
      <c r="CW20" s="50">
        <v>13945.85468</v>
      </c>
      <c r="CX20" s="50">
        <v>62045.569390000004</v>
      </c>
      <c r="CY20" s="50">
        <v>17033.912319999999</v>
      </c>
      <c r="CZ20" s="50">
        <v>66485.35252</v>
      </c>
      <c r="DA20" s="50">
        <v>20774.32978</v>
      </c>
      <c r="DB20" s="50">
        <v>70035.058709999998</v>
      </c>
      <c r="DC20" s="50">
        <v>24687.799429999999</v>
      </c>
      <c r="DD20" s="50">
        <v>70768.554439999993</v>
      </c>
      <c r="DE20" s="50">
        <v>32196.335789999997</v>
      </c>
      <c r="DF20" s="50">
        <v>72907.537680000009</v>
      </c>
      <c r="DG20" s="50">
        <v>37807.230450000003</v>
      </c>
      <c r="DH20" s="50">
        <v>75354.636760000009</v>
      </c>
      <c r="DI20" s="50">
        <v>52394.136930000001</v>
      </c>
      <c r="DJ20" s="50">
        <v>83739.761719999995</v>
      </c>
      <c r="DK20" s="50">
        <v>61670.384310000001</v>
      </c>
      <c r="DL20" s="50">
        <v>87470.02347</v>
      </c>
      <c r="DM20" s="50">
        <v>67722.849260000003</v>
      </c>
      <c r="DN20" s="50">
        <v>95394.634080000003</v>
      </c>
      <c r="DO20" s="50">
        <v>72325.116320000001</v>
      </c>
      <c r="DP20" s="50">
        <v>102649.39958</v>
      </c>
      <c r="DQ20" s="51">
        <v>78944.396659999999</v>
      </c>
      <c r="DR20" s="52">
        <v>57123.202160000001</v>
      </c>
      <c r="DS20" s="58">
        <v>3242.2952100000002</v>
      </c>
      <c r="DT20" s="54">
        <v>62343.875829999997</v>
      </c>
      <c r="DU20" s="51">
        <v>11208.108260000001</v>
      </c>
      <c r="DV20" s="52">
        <v>67850.442890000006</v>
      </c>
      <c r="DW20" s="53">
        <v>17432.849689999999</v>
      </c>
      <c r="DX20" s="54">
        <v>72792.863089999999</v>
      </c>
      <c r="DY20" s="51">
        <v>25484.07243</v>
      </c>
      <c r="DZ20" s="52">
        <v>75804.024479999993</v>
      </c>
      <c r="EA20" s="53">
        <v>31436.631300000001</v>
      </c>
      <c r="EB20" s="54">
        <v>78107.65453</v>
      </c>
      <c r="EC20" s="51">
        <v>37391.459439999999</v>
      </c>
      <c r="ED20" s="52">
        <v>81341.680429999993</v>
      </c>
      <c r="EE20" s="53">
        <v>43342.975619999997</v>
      </c>
      <c r="EF20" s="52">
        <v>84785.351039999994</v>
      </c>
      <c r="EG20" s="53">
        <v>50038.000110000001</v>
      </c>
      <c r="EH20" s="54">
        <v>93074.326220000003</v>
      </c>
      <c r="EI20" s="53">
        <v>55867.988169999997</v>
      </c>
      <c r="EJ20" s="54">
        <v>95764.073699999994</v>
      </c>
      <c r="EK20" s="53">
        <v>61716.063529999999</v>
      </c>
      <c r="EL20" s="52">
        <v>105546.56829</v>
      </c>
      <c r="EM20" s="55">
        <v>66127.603069999997</v>
      </c>
      <c r="EN20" s="52">
        <v>112260.04118</v>
      </c>
      <c r="EO20" s="55">
        <v>70222.080130000002</v>
      </c>
      <c r="EP20" s="52">
        <v>57682.179179999999</v>
      </c>
      <c r="EQ20" s="55">
        <v>5664.7486699999999</v>
      </c>
      <c r="ER20" s="52">
        <v>64871.050380000001</v>
      </c>
      <c r="ES20" s="55">
        <v>11308.24567</v>
      </c>
      <c r="ET20" s="52">
        <v>70543.691990000007</v>
      </c>
      <c r="EU20" s="55">
        <v>17040.8344</v>
      </c>
      <c r="EV20" s="52">
        <v>72618.536999999997</v>
      </c>
      <c r="EW20" s="55">
        <v>22747.871869999999</v>
      </c>
      <c r="EX20" s="52">
        <v>78222.003649999999</v>
      </c>
      <c r="EY20" s="55">
        <v>28923.035820000001</v>
      </c>
      <c r="EZ20" s="52">
        <v>81608.043849999987</v>
      </c>
      <c r="FA20" s="55">
        <v>35145.801380000004</v>
      </c>
      <c r="FB20" s="52">
        <v>85651.199040000007</v>
      </c>
      <c r="FC20" s="55">
        <v>41029.689469999998</v>
      </c>
      <c r="FD20" s="52">
        <v>91226.537259999997</v>
      </c>
      <c r="FE20" s="55">
        <v>48633.073960000002</v>
      </c>
      <c r="FF20" s="52">
        <v>99800.09564</v>
      </c>
      <c r="FG20" s="55">
        <v>55541.673259999996</v>
      </c>
      <c r="FH20" s="52">
        <v>103275.73618000001</v>
      </c>
      <c r="FI20" s="55">
        <v>63662.357889999999</v>
      </c>
      <c r="FJ20" s="52">
        <v>112547.82079</v>
      </c>
      <c r="FK20" s="55">
        <v>73497.845560000002</v>
      </c>
      <c r="FL20" s="52">
        <v>121010.91701</v>
      </c>
      <c r="FM20" s="55">
        <v>82367.729120000004</v>
      </c>
      <c r="FN20" s="52">
        <v>52108.096210000003</v>
      </c>
      <c r="FO20" s="55">
        <v>6233.3559800000003</v>
      </c>
      <c r="FP20" s="52">
        <v>62933.47337</v>
      </c>
      <c r="FQ20" s="55">
        <v>14256.17376</v>
      </c>
      <c r="FR20" s="52">
        <v>68634.600179999994</v>
      </c>
      <c r="FS20" s="55">
        <v>20262.479729999999</v>
      </c>
      <c r="FT20" s="52">
        <v>71512.772570000001</v>
      </c>
      <c r="FU20" s="55">
        <v>28935.530579999999</v>
      </c>
      <c r="FV20" s="52">
        <v>77129.043019999997</v>
      </c>
      <c r="FW20" s="55">
        <v>37748.643810000001</v>
      </c>
      <c r="FX20" s="52">
        <v>81045.480660000001</v>
      </c>
      <c r="FY20" s="55">
        <v>45059.750970000001</v>
      </c>
      <c r="FZ20" s="52">
        <v>87146.068920000005</v>
      </c>
      <c r="GA20" s="55">
        <f>54110.48847+24.24328</f>
        <v>54134.731749999999</v>
      </c>
      <c r="GB20" s="52">
        <v>93624.766789999994</v>
      </c>
      <c r="GC20" s="55">
        <v>62082.367409999999</v>
      </c>
      <c r="GD20" s="52">
        <v>96098.261799999993</v>
      </c>
      <c r="GE20" s="55">
        <v>70760.612800000003</v>
      </c>
      <c r="GF20" s="52">
        <v>100958.09883</v>
      </c>
      <c r="GG20" s="55">
        <v>79860.565019999995</v>
      </c>
      <c r="GH20" s="52">
        <v>113664.63903999999</v>
      </c>
      <c r="GI20" s="55">
        <v>88094.620989999996</v>
      </c>
      <c r="GJ20" s="52">
        <v>123087.07283999999</v>
      </c>
      <c r="GK20" s="55">
        <v>96642.019209999999</v>
      </c>
      <c r="GL20" s="52">
        <v>58313.244319999998</v>
      </c>
      <c r="GM20" s="55">
        <v>4971.3518299999996</v>
      </c>
      <c r="GN20" s="52">
        <v>67947.686289999998</v>
      </c>
      <c r="GO20" s="55">
        <v>11486.213019999999</v>
      </c>
      <c r="GP20" s="52">
        <v>74487.827619999996</v>
      </c>
      <c r="GQ20" s="55">
        <v>16949.377210000006</v>
      </c>
      <c r="GR20" s="52">
        <v>77003.543099999995</v>
      </c>
      <c r="GS20" s="55">
        <v>26787.1361</v>
      </c>
      <c r="GT20" s="52">
        <v>83729.521089999995</v>
      </c>
      <c r="GU20" s="55">
        <v>36427.605360000001</v>
      </c>
      <c r="GV20" s="52">
        <v>88359.29204</v>
      </c>
      <c r="GW20" s="55">
        <v>42510.436029999997</v>
      </c>
      <c r="GX20" s="52">
        <v>91646.87096</v>
      </c>
      <c r="GY20" s="55">
        <v>50820.038330000003</v>
      </c>
      <c r="GZ20" s="52">
        <v>101368.23705</v>
      </c>
      <c r="HA20" s="55">
        <v>58846.862670000002</v>
      </c>
      <c r="HB20" s="52">
        <v>105017.42187999999</v>
      </c>
      <c r="HC20" s="55">
        <v>65965.94571</v>
      </c>
      <c r="HD20" s="52">
        <v>114810.4841</v>
      </c>
      <c r="HE20" s="55">
        <v>74006.042600000001</v>
      </c>
      <c r="HF20" s="52">
        <v>121900.83671</v>
      </c>
      <c r="HG20" s="55">
        <v>81311.927960000001</v>
      </c>
      <c r="HH20" s="52">
        <v>133025.62963000001</v>
      </c>
      <c r="HI20" s="55">
        <v>89204.155249999996</v>
      </c>
      <c r="HJ20" s="52">
        <v>51668.901080000003</v>
      </c>
      <c r="HK20" s="55">
        <v>6853.7156100000002</v>
      </c>
      <c r="HL20" s="52">
        <v>65766.489939999999</v>
      </c>
      <c r="HM20" s="55">
        <v>13879.19641</v>
      </c>
      <c r="HN20" s="52">
        <v>72517.837509999998</v>
      </c>
      <c r="HO20" s="55">
        <v>18615.524000000001</v>
      </c>
      <c r="HP20" s="52">
        <v>75736.270090000005</v>
      </c>
      <c r="HQ20" s="55">
        <v>29752.06856</v>
      </c>
      <c r="HR20" s="52">
        <v>81590.994149999999</v>
      </c>
      <c r="HS20" s="55">
        <v>37626.483119999997</v>
      </c>
      <c r="HT20" s="52">
        <v>87334.815189999994</v>
      </c>
      <c r="HU20" s="55">
        <v>46088.778359999997</v>
      </c>
      <c r="HV20" s="52">
        <v>91460.571679999994</v>
      </c>
      <c r="HW20" s="55">
        <v>54334.923119999999</v>
      </c>
      <c r="HX20" s="52">
        <v>96115.323229999995</v>
      </c>
      <c r="HY20" s="55">
        <v>63639.187059999997</v>
      </c>
      <c r="HZ20" s="52">
        <v>102125.30503</v>
      </c>
      <c r="IA20" s="55">
        <v>70770.024739999993</v>
      </c>
      <c r="IB20" s="16" t="s">
        <v>111</v>
      </c>
    </row>
    <row r="21" spans="1:238" s="9" customFormat="1" ht="22.5" customHeight="1" x14ac:dyDescent="0.4">
      <c r="A21" s="18" t="s">
        <v>47</v>
      </c>
      <c r="B21" s="50">
        <v>148.82676000000001</v>
      </c>
      <c r="C21" s="50">
        <v>4.7051800000000004</v>
      </c>
      <c r="D21" s="50">
        <v>325.29307</v>
      </c>
      <c r="E21" s="50">
        <v>27.50065</v>
      </c>
      <c r="F21" s="50">
        <v>509.81162999999992</v>
      </c>
      <c r="G21" s="50">
        <v>53.135580000000004</v>
      </c>
      <c r="H21" s="50">
        <v>705.80830000000003</v>
      </c>
      <c r="I21" s="50">
        <v>71.145589999999999</v>
      </c>
      <c r="J21" s="50">
        <v>991.27355</v>
      </c>
      <c r="K21" s="50">
        <v>117.59075</v>
      </c>
      <c r="L21" s="50">
        <v>1323.8947599999999</v>
      </c>
      <c r="M21" s="50">
        <v>129.08305000000001</v>
      </c>
      <c r="N21" s="50">
        <v>1840.7411299999999</v>
      </c>
      <c r="O21" s="50">
        <v>146.25514000000001</v>
      </c>
      <c r="P21" s="50">
        <v>2307.6070299999997</v>
      </c>
      <c r="Q21" s="50">
        <v>182.02610999999999</v>
      </c>
      <c r="R21" s="50">
        <v>2507.6607799999997</v>
      </c>
      <c r="S21" s="50">
        <v>289.49996000000004</v>
      </c>
      <c r="T21" s="50">
        <v>2750.8502400000002</v>
      </c>
      <c r="U21" s="50">
        <v>329.20625999999999</v>
      </c>
      <c r="V21" s="50">
        <v>2943.3612000000003</v>
      </c>
      <c r="W21" s="50">
        <v>361.02526</v>
      </c>
      <c r="X21" s="50">
        <v>3100.1843200000003</v>
      </c>
      <c r="Y21" s="50">
        <v>375.59332000000001</v>
      </c>
      <c r="Z21" s="50">
        <v>215.6061</v>
      </c>
      <c r="AA21" s="50">
        <v>11.681940000000001</v>
      </c>
      <c r="AB21" s="50">
        <v>429.28646000000003</v>
      </c>
      <c r="AC21" s="50">
        <v>15.478569999999999</v>
      </c>
      <c r="AD21" s="50">
        <v>636.04300000000001</v>
      </c>
      <c r="AE21" s="50">
        <v>37.005000000000003</v>
      </c>
      <c r="AF21" s="50">
        <v>887.69011999999998</v>
      </c>
      <c r="AG21" s="50">
        <v>292.81799999999998</v>
      </c>
      <c r="AH21" s="50">
        <v>1211.1149800000001</v>
      </c>
      <c r="AI21" s="50">
        <v>361.61041999999998</v>
      </c>
      <c r="AJ21" s="50">
        <v>1643.68319</v>
      </c>
      <c r="AK21" s="50">
        <v>456.09717000000001</v>
      </c>
      <c r="AL21" s="50">
        <v>2223.5200199999999</v>
      </c>
      <c r="AM21" s="50">
        <v>462.34318999999999</v>
      </c>
      <c r="AN21" s="50">
        <v>2730.8883999999998</v>
      </c>
      <c r="AO21" s="50">
        <v>533.15953000000002</v>
      </c>
      <c r="AP21" s="50">
        <v>3061.1123499999999</v>
      </c>
      <c r="AQ21" s="50">
        <v>603.25081999999998</v>
      </c>
      <c r="AR21" s="50">
        <v>3350.7155899999998</v>
      </c>
      <c r="AS21" s="50">
        <v>676.67769999999996</v>
      </c>
      <c r="AT21" s="50">
        <v>3604.8102799999997</v>
      </c>
      <c r="AU21" s="50">
        <v>687.94005000000004</v>
      </c>
      <c r="AV21" s="50">
        <v>3758.14939</v>
      </c>
      <c r="AW21" s="50">
        <v>749.50563999999997</v>
      </c>
      <c r="AX21" s="50">
        <v>251.19410999999999</v>
      </c>
      <c r="AY21" s="50">
        <v>11.15311</v>
      </c>
      <c r="AZ21" s="50">
        <v>502.67162999999999</v>
      </c>
      <c r="BA21" s="50">
        <v>24.241319999999998</v>
      </c>
      <c r="BB21" s="50">
        <v>738.19452999999999</v>
      </c>
      <c r="BC21" s="50">
        <v>41.537430000000001</v>
      </c>
      <c r="BD21" s="50">
        <v>1029.89688</v>
      </c>
      <c r="BE21" s="50">
        <v>110.10025</v>
      </c>
      <c r="BF21" s="50">
        <v>1427.39068</v>
      </c>
      <c r="BG21" s="50">
        <v>153.19175000000001</v>
      </c>
      <c r="BH21" s="50">
        <v>1934.1501499999999</v>
      </c>
      <c r="BI21" s="50">
        <v>196.28095000000002</v>
      </c>
      <c r="BJ21" s="50">
        <v>2645.6152700000002</v>
      </c>
      <c r="BK21" s="50">
        <v>257.39503000000002</v>
      </c>
      <c r="BL21" s="50">
        <v>3305.7902100000001</v>
      </c>
      <c r="BM21" s="50">
        <v>285.30090000000001</v>
      </c>
      <c r="BN21" s="50">
        <v>3796.9089900000004</v>
      </c>
      <c r="BO21" s="50">
        <v>359.09926000000002</v>
      </c>
      <c r="BP21" s="50">
        <v>4166.2618700000003</v>
      </c>
      <c r="BQ21" s="50">
        <v>436.55930000000001</v>
      </c>
      <c r="BR21" s="50">
        <v>4523.7093399999994</v>
      </c>
      <c r="BS21" s="50">
        <v>472.68445000000003</v>
      </c>
      <c r="BT21" s="50">
        <v>4878.0391</v>
      </c>
      <c r="BU21" s="50">
        <v>481.90397999999999</v>
      </c>
      <c r="BV21" s="50">
        <v>309.43208000000004</v>
      </c>
      <c r="BW21" s="50">
        <v>43.024639999999998</v>
      </c>
      <c r="BX21" s="50">
        <v>655.46632</v>
      </c>
      <c r="BY21" s="50">
        <v>72.358789999999999</v>
      </c>
      <c r="BZ21" s="50">
        <v>769.93795999999998</v>
      </c>
      <c r="CA21" s="50">
        <v>98.505870000000002</v>
      </c>
      <c r="CB21" s="50">
        <v>782.82281</v>
      </c>
      <c r="CC21" s="50">
        <v>188.25433999999998</v>
      </c>
      <c r="CD21" s="50">
        <v>794.46735999999999</v>
      </c>
      <c r="CE21" s="50">
        <v>219.53742000000003</v>
      </c>
      <c r="CF21" s="50">
        <v>793.49123999999995</v>
      </c>
      <c r="CG21" s="50">
        <v>228.99280999999999</v>
      </c>
      <c r="CH21" s="50">
        <v>852.97125000000005</v>
      </c>
      <c r="CI21" s="50">
        <v>235.43929</v>
      </c>
      <c r="CJ21" s="50">
        <v>991.46607999999992</v>
      </c>
      <c r="CK21" s="50">
        <v>266.00887999999998</v>
      </c>
      <c r="CL21" s="50">
        <v>1161.7506000000001</v>
      </c>
      <c r="CM21" s="50">
        <v>275.48809999999997</v>
      </c>
      <c r="CN21" s="50">
        <v>1276.6858400000001</v>
      </c>
      <c r="CO21" s="50">
        <v>280.76053000000002</v>
      </c>
      <c r="CP21" s="50">
        <v>1333.1001799999999</v>
      </c>
      <c r="CQ21" s="50">
        <v>281.36799999999999</v>
      </c>
      <c r="CR21" s="50">
        <v>1416.05008</v>
      </c>
      <c r="CS21" s="50">
        <v>307.68601000000001</v>
      </c>
      <c r="CT21" s="50">
        <v>103.94686</v>
      </c>
      <c r="CU21" s="50">
        <v>2.4013200000000001</v>
      </c>
      <c r="CV21" s="50">
        <v>214.99106</v>
      </c>
      <c r="CW21" s="50">
        <v>13.411530000000001</v>
      </c>
      <c r="CX21" s="50">
        <v>330.22353999999996</v>
      </c>
      <c r="CY21" s="50">
        <v>13.411530000000001</v>
      </c>
      <c r="CZ21" s="50">
        <v>467.06016999999997</v>
      </c>
      <c r="DA21" s="50">
        <v>38.060809999999996</v>
      </c>
      <c r="DB21" s="50">
        <v>602.57673</v>
      </c>
      <c r="DC21" s="50">
        <v>73.315490000000011</v>
      </c>
      <c r="DD21" s="50">
        <v>829.31002000000001</v>
      </c>
      <c r="DE21" s="50">
        <v>88.934429999999992</v>
      </c>
      <c r="DF21" s="50">
        <v>1308.9730099999999</v>
      </c>
      <c r="DG21" s="50">
        <v>95.155500000000004</v>
      </c>
      <c r="DH21" s="50">
        <v>1868.0806699999998</v>
      </c>
      <c r="DI21" s="50">
        <v>101.99454</v>
      </c>
      <c r="DJ21" s="50">
        <v>2295.0023799999999</v>
      </c>
      <c r="DK21" s="50">
        <v>133.02167</v>
      </c>
      <c r="DL21" s="50">
        <v>2557.0192099999999</v>
      </c>
      <c r="DM21" s="50">
        <v>155.84827999999999</v>
      </c>
      <c r="DN21" s="50">
        <v>2773.8145100000002</v>
      </c>
      <c r="DO21" s="50">
        <v>162.13843</v>
      </c>
      <c r="DP21" s="50">
        <v>2963.7100399999999</v>
      </c>
      <c r="DQ21" s="51">
        <v>229.45199</v>
      </c>
      <c r="DR21" s="52">
        <v>201.46573000000001</v>
      </c>
      <c r="DS21" s="53">
        <v>0.55259999999999998</v>
      </c>
      <c r="DT21" s="54">
        <v>385.02166</v>
      </c>
      <c r="DU21" s="51">
        <v>9.3350299999999997</v>
      </c>
      <c r="DV21" s="52">
        <v>627.14044000000001</v>
      </c>
      <c r="DW21" s="53">
        <v>25.57244</v>
      </c>
      <c r="DX21" s="54">
        <v>949.45851000000005</v>
      </c>
      <c r="DY21" s="51">
        <v>37.633980000000001</v>
      </c>
      <c r="DZ21" s="52">
        <v>1484.5909799999999</v>
      </c>
      <c r="EA21" s="53">
        <v>100.33129</v>
      </c>
      <c r="EB21" s="54">
        <v>1857.03629</v>
      </c>
      <c r="EC21" s="51">
        <v>181.19983999999999</v>
      </c>
      <c r="ED21" s="52">
        <v>2610.2428300000001</v>
      </c>
      <c r="EE21" s="53">
        <v>226.04856000000001</v>
      </c>
      <c r="EF21" s="52">
        <v>3407.8195000000001</v>
      </c>
      <c r="EG21" s="53">
        <v>251.36682999999999</v>
      </c>
      <c r="EH21" s="54">
        <v>3944.4822800000002</v>
      </c>
      <c r="EI21" s="53">
        <v>284.74671999999998</v>
      </c>
      <c r="EJ21" s="54">
        <v>4374.2649600000004</v>
      </c>
      <c r="EK21" s="53">
        <v>306.55871999999999</v>
      </c>
      <c r="EL21" s="52">
        <v>4768.5699100000002</v>
      </c>
      <c r="EM21" s="55">
        <v>380.61676</v>
      </c>
      <c r="EN21" s="52">
        <v>5173.85419</v>
      </c>
      <c r="EO21" s="55">
        <v>509.69922000000003</v>
      </c>
      <c r="EP21" s="52">
        <v>371.1748</v>
      </c>
      <c r="EQ21" s="55">
        <v>8.0367899999999999</v>
      </c>
      <c r="ER21" s="52">
        <v>762.78761999999995</v>
      </c>
      <c r="ES21" s="55">
        <v>61.974910000000001</v>
      </c>
      <c r="ET21" s="52">
        <v>1148.1283699999999</v>
      </c>
      <c r="EU21" s="55">
        <v>67.895169999999993</v>
      </c>
      <c r="EV21" s="52">
        <v>1559.3200999999999</v>
      </c>
      <c r="EW21" s="55">
        <v>84.431960000000004</v>
      </c>
      <c r="EX21" s="52">
        <v>2171.50695</v>
      </c>
      <c r="EY21" s="55">
        <v>103.24786</v>
      </c>
      <c r="EZ21" s="52">
        <v>2736.22354</v>
      </c>
      <c r="FA21" s="55">
        <v>116.17917999999999</v>
      </c>
      <c r="FB21" s="52">
        <v>3721.63033</v>
      </c>
      <c r="FC21" s="55">
        <v>151.78257000000002</v>
      </c>
      <c r="FD21" s="52">
        <v>4503.56466</v>
      </c>
      <c r="FE21" s="55">
        <v>190.90546000000001</v>
      </c>
      <c r="FF21" s="52">
        <v>4917.5642099999995</v>
      </c>
      <c r="FG21" s="55">
        <v>292.42399999999998</v>
      </c>
      <c r="FH21" s="52">
        <v>5290.7333399999998</v>
      </c>
      <c r="FI21" s="55">
        <v>314.45042999999998</v>
      </c>
      <c r="FJ21" s="52">
        <v>5641.62</v>
      </c>
      <c r="FK21" s="55">
        <v>488.50664</v>
      </c>
      <c r="FL21" s="52">
        <v>6022.2288899999994</v>
      </c>
      <c r="FM21" s="55">
        <v>543.24384999999995</v>
      </c>
      <c r="FN21" s="52">
        <v>326.07906000000003</v>
      </c>
      <c r="FO21" s="55">
        <v>28.421209999999999</v>
      </c>
      <c r="FP21" s="52">
        <v>692.57231000000002</v>
      </c>
      <c r="FQ21" s="55">
        <v>77.215729999999994</v>
      </c>
      <c r="FR21" s="52">
        <v>983.29737999999998</v>
      </c>
      <c r="FS21" s="55">
        <v>79.991370000000003</v>
      </c>
      <c r="FT21" s="52">
        <v>1382.51513</v>
      </c>
      <c r="FU21" s="55">
        <v>84.328249999999997</v>
      </c>
      <c r="FV21" s="52">
        <v>1956.8891799999999</v>
      </c>
      <c r="FW21" s="55">
        <v>111.31321</v>
      </c>
      <c r="FX21" s="52">
        <v>2437.5541800000001</v>
      </c>
      <c r="FY21" s="55">
        <v>136.83546999999999</v>
      </c>
      <c r="FZ21" s="52">
        <v>3314.1248500000002</v>
      </c>
      <c r="GA21" s="55">
        <f>150.79711+0.16073</f>
        <v>150.95784</v>
      </c>
      <c r="GB21" s="52">
        <v>4098.0801899999997</v>
      </c>
      <c r="GC21" s="55">
        <v>180.57486</v>
      </c>
      <c r="GD21" s="52">
        <v>4544.9960000000001</v>
      </c>
      <c r="GE21" s="55">
        <v>249.52479</v>
      </c>
      <c r="GF21" s="52">
        <v>4962.6562800000002</v>
      </c>
      <c r="GG21" s="55">
        <v>299.47618999999997</v>
      </c>
      <c r="GH21" s="52">
        <v>5280.9005200000001</v>
      </c>
      <c r="GI21" s="55">
        <v>400.38229999999999</v>
      </c>
      <c r="GJ21" s="52">
        <v>5579.4660899999999</v>
      </c>
      <c r="GK21" s="55">
        <v>650.03945999999996</v>
      </c>
      <c r="GL21" s="52">
        <v>346.86031000000003</v>
      </c>
      <c r="GM21" s="55">
        <v>49.632249999999999</v>
      </c>
      <c r="GN21" s="52">
        <v>671.37834999999995</v>
      </c>
      <c r="GO21" s="55">
        <v>53.365090000000002</v>
      </c>
      <c r="GP21" s="52">
        <v>975.13514000000123</v>
      </c>
      <c r="GQ21" s="55">
        <v>70.285121766999978</v>
      </c>
      <c r="GR21" s="52">
        <v>1394.0656300000001</v>
      </c>
      <c r="GS21" s="55">
        <v>84.721980000000002</v>
      </c>
      <c r="GT21" s="52">
        <v>1825.1739500000001</v>
      </c>
      <c r="GU21" s="55">
        <v>176.61087000000001</v>
      </c>
      <c r="GV21" s="52">
        <v>2300.7849999999999</v>
      </c>
      <c r="GW21" s="55">
        <v>265.71983999999998</v>
      </c>
      <c r="GX21" s="52">
        <v>4002.4362999999998</v>
      </c>
      <c r="GY21" s="55">
        <v>376.02879000000001</v>
      </c>
      <c r="GZ21" s="52">
        <v>4462.3848600000001</v>
      </c>
      <c r="HA21" s="55">
        <v>399.32162</v>
      </c>
      <c r="HB21" s="52">
        <v>4807.9514300000001</v>
      </c>
      <c r="HC21" s="55">
        <v>428.60579000000001</v>
      </c>
      <c r="HD21" s="52">
        <v>5245.3589099999999</v>
      </c>
      <c r="HE21" s="55">
        <v>545.12753999999995</v>
      </c>
      <c r="HF21" s="52">
        <v>5574.2482200000004</v>
      </c>
      <c r="HG21" s="55">
        <v>667.72905000000003</v>
      </c>
      <c r="HH21" s="52">
        <v>5944.6969799999997</v>
      </c>
      <c r="HI21" s="55">
        <v>730.73576000000003</v>
      </c>
      <c r="HJ21" s="52">
        <v>624.29121999999995</v>
      </c>
      <c r="HK21" s="55">
        <v>34.146560000000001</v>
      </c>
      <c r="HL21" s="52">
        <v>1209.7592299999999</v>
      </c>
      <c r="HM21" s="55">
        <v>322.11527999999998</v>
      </c>
      <c r="HN21" s="52">
        <v>1738.4430400000001</v>
      </c>
      <c r="HO21" s="55">
        <v>346.78116999999997</v>
      </c>
      <c r="HP21" s="52">
        <v>2483.5014200000001</v>
      </c>
      <c r="HQ21" s="55">
        <v>372.94522000000001</v>
      </c>
      <c r="HR21" s="52">
        <v>3204.38969</v>
      </c>
      <c r="HS21" s="55">
        <v>498.63589000000002</v>
      </c>
      <c r="HT21" s="52">
        <v>4305.6939899999998</v>
      </c>
      <c r="HU21" s="55">
        <v>511.4282</v>
      </c>
      <c r="HV21" s="52">
        <v>5666.3565799999997</v>
      </c>
      <c r="HW21" s="55">
        <v>567.13681999999994</v>
      </c>
      <c r="HX21" s="52">
        <v>6870.0763100000004</v>
      </c>
      <c r="HY21" s="55">
        <v>712.44907999999998</v>
      </c>
      <c r="HZ21" s="52">
        <v>7714.8008200000004</v>
      </c>
      <c r="IA21" s="55">
        <v>837.86024999999995</v>
      </c>
      <c r="IB21" s="19" t="s">
        <v>48</v>
      </c>
    </row>
    <row r="22" spans="1:238" s="9" customFormat="1" ht="22.5" customHeight="1" x14ac:dyDescent="0.4">
      <c r="A22" s="15" t="s">
        <v>49</v>
      </c>
      <c r="B22" s="50">
        <v>367.81779999999998</v>
      </c>
      <c r="C22" s="50">
        <v>20.692610000000002</v>
      </c>
      <c r="D22" s="50">
        <v>666.02304000000004</v>
      </c>
      <c r="E22" s="50">
        <v>56.176339999999996</v>
      </c>
      <c r="F22" s="50">
        <v>909.45472999999993</v>
      </c>
      <c r="G22" s="50">
        <v>107.37833999999999</v>
      </c>
      <c r="H22" s="50">
        <v>1121.00549</v>
      </c>
      <c r="I22" s="50">
        <v>206.2595</v>
      </c>
      <c r="J22" s="50">
        <v>1710.6653100000001</v>
      </c>
      <c r="K22" s="50">
        <v>204.4365</v>
      </c>
      <c r="L22" s="50">
        <v>2028.92724</v>
      </c>
      <c r="M22" s="50">
        <v>230.28554</v>
      </c>
      <c r="N22" s="50">
        <v>2342.7371800000001</v>
      </c>
      <c r="O22" s="50">
        <v>304.18314000000004</v>
      </c>
      <c r="P22" s="50">
        <v>2677.12464</v>
      </c>
      <c r="Q22" s="50">
        <v>317.82914</v>
      </c>
      <c r="R22" s="50">
        <v>3097.7746499999998</v>
      </c>
      <c r="S22" s="50">
        <v>364.96577000000002</v>
      </c>
      <c r="T22" s="50">
        <v>3548.4917099999998</v>
      </c>
      <c r="U22" s="50">
        <v>389.06677000000002</v>
      </c>
      <c r="V22" s="50">
        <v>3778.71857</v>
      </c>
      <c r="W22" s="50">
        <v>408.75877000000003</v>
      </c>
      <c r="X22" s="50">
        <v>4272.6571299999996</v>
      </c>
      <c r="Y22" s="50">
        <v>451.79376999999999</v>
      </c>
      <c r="Z22" s="50">
        <v>177.87010999999998</v>
      </c>
      <c r="AA22" s="50">
        <v>9.90991</v>
      </c>
      <c r="AB22" s="50">
        <v>428.85897999999997</v>
      </c>
      <c r="AC22" s="50">
        <v>35.297910000000002</v>
      </c>
      <c r="AD22" s="50">
        <v>610.58687999999995</v>
      </c>
      <c r="AE22" s="50">
        <v>50.554910000000007</v>
      </c>
      <c r="AF22" s="50">
        <v>802.4438100000001</v>
      </c>
      <c r="AG22" s="50">
        <v>85.164910000000006</v>
      </c>
      <c r="AH22" s="50">
        <v>1243.3</v>
      </c>
      <c r="AI22" s="50">
        <v>107.07491</v>
      </c>
      <c r="AJ22" s="50">
        <v>1557.9589699999999</v>
      </c>
      <c r="AK22" s="50">
        <v>148.29991000000001</v>
      </c>
      <c r="AL22" s="50">
        <v>1736.6483599999999</v>
      </c>
      <c r="AM22" s="50">
        <v>152.80491000000001</v>
      </c>
      <c r="AN22" s="50">
        <v>2064.9647300000001</v>
      </c>
      <c r="AO22" s="50">
        <v>187.33356000000001</v>
      </c>
      <c r="AP22" s="50">
        <v>2536.0867000000003</v>
      </c>
      <c r="AQ22" s="50">
        <v>218.84112999999999</v>
      </c>
      <c r="AR22" s="50">
        <v>2733.42146</v>
      </c>
      <c r="AS22" s="50">
        <v>247.51273</v>
      </c>
      <c r="AT22" s="50">
        <v>3089.24701</v>
      </c>
      <c r="AU22" s="50">
        <v>280.60462000000001</v>
      </c>
      <c r="AV22" s="50">
        <v>3299.9067099999997</v>
      </c>
      <c r="AW22" s="50">
        <v>322.83415000000002</v>
      </c>
      <c r="AX22" s="50">
        <v>150.89749</v>
      </c>
      <c r="AY22" s="50">
        <v>8.4062400000000004</v>
      </c>
      <c r="AZ22" s="50">
        <v>424.76340999999996</v>
      </c>
      <c r="BA22" s="50">
        <v>21.706240000000001</v>
      </c>
      <c r="BB22" s="50">
        <v>697.08933999999999</v>
      </c>
      <c r="BC22" s="50">
        <v>55.126239999999996</v>
      </c>
      <c r="BD22" s="50">
        <v>761.79575</v>
      </c>
      <c r="BE22" s="50">
        <v>86.296240000000012</v>
      </c>
      <c r="BF22" s="50">
        <v>1008.68157</v>
      </c>
      <c r="BG22" s="50">
        <v>122.78111</v>
      </c>
      <c r="BH22" s="50">
        <v>1222.06051</v>
      </c>
      <c r="BI22" s="50">
        <v>138.68455</v>
      </c>
      <c r="BJ22" s="50">
        <v>1597.5301200000001</v>
      </c>
      <c r="BK22" s="50">
        <v>189.22029000000001</v>
      </c>
      <c r="BL22" s="50">
        <v>1856.34707</v>
      </c>
      <c r="BM22" s="50">
        <v>218.73029</v>
      </c>
      <c r="BN22" s="50">
        <v>2466.4289900000003</v>
      </c>
      <c r="BO22" s="50">
        <v>266.16629</v>
      </c>
      <c r="BP22" s="50">
        <v>2730.2401500000001</v>
      </c>
      <c r="BQ22" s="50">
        <v>316.79428999999999</v>
      </c>
      <c r="BR22" s="50">
        <v>3093.8230800000001</v>
      </c>
      <c r="BS22" s="50">
        <v>363.01078999999999</v>
      </c>
      <c r="BT22" s="50">
        <v>3416.3571400000001</v>
      </c>
      <c r="BU22" s="50">
        <v>443.67675000000003</v>
      </c>
      <c r="BV22" s="50">
        <v>194.87442999999999</v>
      </c>
      <c r="BW22" s="50">
        <v>15.035</v>
      </c>
      <c r="BX22" s="50">
        <v>623.17760999999996</v>
      </c>
      <c r="BY22" s="50">
        <v>23.463000000000001</v>
      </c>
      <c r="BZ22" s="50">
        <v>805.74327000000005</v>
      </c>
      <c r="CA22" s="50">
        <v>66.894210000000001</v>
      </c>
      <c r="CB22" s="50">
        <v>907.03390000000002</v>
      </c>
      <c r="CC22" s="50">
        <v>61.05885</v>
      </c>
      <c r="CD22" s="50">
        <v>1149.1292900000001</v>
      </c>
      <c r="CE22" s="50">
        <v>73.562850000000012</v>
      </c>
      <c r="CF22" s="50">
        <v>1298.53116</v>
      </c>
      <c r="CG22" s="50">
        <v>87.257149999999996</v>
      </c>
      <c r="CH22" s="50">
        <v>1502.9093799999998</v>
      </c>
      <c r="CI22" s="50">
        <v>105.11614999999999</v>
      </c>
      <c r="CJ22" s="50">
        <v>1645.1372799999999</v>
      </c>
      <c r="CK22" s="50">
        <v>127.42214999999999</v>
      </c>
      <c r="CL22" s="50">
        <v>2244.8064599999998</v>
      </c>
      <c r="CM22" s="50">
        <v>132.64354999999998</v>
      </c>
      <c r="CN22" s="50">
        <v>2520.5585899999996</v>
      </c>
      <c r="CO22" s="50">
        <v>152.51470999999998</v>
      </c>
      <c r="CP22" s="50">
        <v>2589.6840200000001</v>
      </c>
      <c r="CQ22" s="50">
        <v>156.45770999999999</v>
      </c>
      <c r="CR22" s="50">
        <v>2913.55906</v>
      </c>
      <c r="CS22" s="50">
        <v>159.11770999999999</v>
      </c>
      <c r="CT22" s="50">
        <v>106.39789</v>
      </c>
      <c r="CU22" s="50">
        <v>4.1781300000000003</v>
      </c>
      <c r="CV22" s="50">
        <v>233.29667999999998</v>
      </c>
      <c r="CW22" s="50">
        <v>41.246929999999999</v>
      </c>
      <c r="CX22" s="50">
        <v>436.41271999999998</v>
      </c>
      <c r="CY22" s="50">
        <v>47.133929999999999</v>
      </c>
      <c r="CZ22" s="50">
        <v>545.47483</v>
      </c>
      <c r="DA22" s="50">
        <v>84.133929999999992</v>
      </c>
      <c r="DB22" s="50">
        <v>747.74014</v>
      </c>
      <c r="DC22" s="50">
        <v>87.813929999999999</v>
      </c>
      <c r="DD22" s="50">
        <v>1152.1415400000001</v>
      </c>
      <c r="DE22" s="50">
        <v>94.293929999999989</v>
      </c>
      <c r="DF22" s="50">
        <v>1537.00495</v>
      </c>
      <c r="DG22" s="50">
        <v>98.393929999999997</v>
      </c>
      <c r="DH22" s="50">
        <v>1661.0534499999999</v>
      </c>
      <c r="DI22" s="50">
        <v>101.75393</v>
      </c>
      <c r="DJ22" s="50">
        <v>2248.8164299999999</v>
      </c>
      <c r="DK22" s="50">
        <v>153.92802</v>
      </c>
      <c r="DL22" s="50">
        <v>2409.93282</v>
      </c>
      <c r="DM22" s="50">
        <v>182.66674</v>
      </c>
      <c r="DN22" s="50">
        <v>2568.6681699999999</v>
      </c>
      <c r="DO22" s="50">
        <v>191.10852</v>
      </c>
      <c r="DP22" s="50">
        <v>2747.8304499999999</v>
      </c>
      <c r="DQ22" s="51">
        <v>197.07852</v>
      </c>
      <c r="DR22" s="59">
        <v>149.80268000000001</v>
      </c>
      <c r="DS22" s="53">
        <v>72.189930000000004</v>
      </c>
      <c r="DT22" s="54">
        <v>303.06513999999999</v>
      </c>
      <c r="DU22" s="51">
        <v>99.436710000000005</v>
      </c>
      <c r="DV22" s="52">
        <v>532.43901000000005</v>
      </c>
      <c r="DW22" s="53">
        <v>107.71957</v>
      </c>
      <c r="DX22" s="54">
        <v>811.92271000000005</v>
      </c>
      <c r="DY22" s="51">
        <v>125.2513</v>
      </c>
      <c r="DZ22" s="52">
        <v>994.84002999999996</v>
      </c>
      <c r="EA22" s="53">
        <v>130.46204</v>
      </c>
      <c r="EB22" s="54">
        <v>1223.73777</v>
      </c>
      <c r="EC22" s="51">
        <v>139.20582999999999</v>
      </c>
      <c r="ED22" s="52">
        <v>1555.4841300000001</v>
      </c>
      <c r="EE22" s="53">
        <v>174.75516999999999</v>
      </c>
      <c r="EF22" s="52">
        <v>1831.25892</v>
      </c>
      <c r="EG22" s="53">
        <v>179.74803</v>
      </c>
      <c r="EH22" s="54">
        <v>2343.2073799999998</v>
      </c>
      <c r="EI22" s="53">
        <v>188.50183000000001</v>
      </c>
      <c r="EJ22" s="54">
        <v>2757.8930399999999</v>
      </c>
      <c r="EK22" s="53">
        <v>195.95705000000001</v>
      </c>
      <c r="EL22" s="52">
        <v>3584.5684700000002</v>
      </c>
      <c r="EM22" s="55">
        <v>209.89240000000001</v>
      </c>
      <c r="EN22" s="52">
        <v>3891.4996099999998</v>
      </c>
      <c r="EO22" s="55">
        <v>219.32656</v>
      </c>
      <c r="EP22" s="52">
        <v>211.53351000000001</v>
      </c>
      <c r="EQ22" s="55">
        <v>3.7750300000000001</v>
      </c>
      <c r="ER22" s="52">
        <v>439.57044000000002</v>
      </c>
      <c r="ES22" s="55">
        <v>21.53576</v>
      </c>
      <c r="ET22" s="52">
        <v>655.76436999999999</v>
      </c>
      <c r="EU22" s="55">
        <v>32.928400000000003</v>
      </c>
      <c r="EV22" s="52">
        <v>917.36749999999995</v>
      </c>
      <c r="EW22" s="55">
        <v>40.785800000000002</v>
      </c>
      <c r="EX22" s="52">
        <v>1613.3903500000001</v>
      </c>
      <c r="EY22" s="55">
        <v>70.952130000000011</v>
      </c>
      <c r="EZ22" s="52">
        <v>1886.0012400000001</v>
      </c>
      <c r="FA22" s="55">
        <v>83.671220000000005</v>
      </c>
      <c r="FB22" s="52">
        <v>2269.74478</v>
      </c>
      <c r="FC22" s="55">
        <v>91.053110000000004</v>
      </c>
      <c r="FD22" s="52">
        <v>2569.2341200000001</v>
      </c>
      <c r="FE22" s="55">
        <v>121.85552</v>
      </c>
      <c r="FF22" s="52">
        <v>3133.78143</v>
      </c>
      <c r="FG22" s="55">
        <v>135.73748999999998</v>
      </c>
      <c r="FH22" s="52">
        <v>4251.8730500000001</v>
      </c>
      <c r="FI22" s="55">
        <v>149.23043999999999</v>
      </c>
      <c r="FJ22" s="52">
        <v>4533.3381399999998</v>
      </c>
      <c r="FK22" s="55">
        <v>164.97479000000001</v>
      </c>
      <c r="FL22" s="52">
        <v>4988.5967199999996</v>
      </c>
      <c r="FM22" s="55">
        <v>175.67702</v>
      </c>
      <c r="FN22" s="52">
        <v>304.64463000000001</v>
      </c>
      <c r="FO22" s="55">
        <v>7.9320599999999999</v>
      </c>
      <c r="FP22" s="52">
        <v>619.79383999999993</v>
      </c>
      <c r="FQ22" s="55">
        <v>19.67239</v>
      </c>
      <c r="FR22" s="52">
        <v>925.82209999999998</v>
      </c>
      <c r="FS22" s="55">
        <v>80.993610000000004</v>
      </c>
      <c r="FT22" s="52">
        <v>1251.9673</v>
      </c>
      <c r="FU22" s="55">
        <v>123.49956</v>
      </c>
      <c r="FV22" s="52">
        <v>1729.97586</v>
      </c>
      <c r="FW22" s="55">
        <v>227.91783000000001</v>
      </c>
      <c r="FX22" s="52">
        <v>2042.57951</v>
      </c>
      <c r="FY22" s="55">
        <v>231.22973999999999</v>
      </c>
      <c r="FZ22" s="52">
        <v>2691.22037</v>
      </c>
      <c r="GA22" s="55">
        <v>235.44023999999999</v>
      </c>
      <c r="GB22" s="52">
        <v>2973.3777700000001</v>
      </c>
      <c r="GC22" s="55">
        <v>235.44023999999999</v>
      </c>
      <c r="GD22" s="52">
        <v>3273.07708</v>
      </c>
      <c r="GE22" s="55">
        <v>245.53695999999999</v>
      </c>
      <c r="GF22" s="52">
        <v>4203.2920999999997</v>
      </c>
      <c r="GG22" s="55">
        <v>246.72649999999999</v>
      </c>
      <c r="GH22" s="52">
        <v>4439.2752300000002</v>
      </c>
      <c r="GI22" s="55">
        <v>323.39789000000002</v>
      </c>
      <c r="GJ22" s="52">
        <v>5315.67742</v>
      </c>
      <c r="GK22" s="55">
        <v>328.61045999999999</v>
      </c>
      <c r="GL22" s="52">
        <v>823.79763000000003</v>
      </c>
      <c r="GM22" s="55">
        <v>0</v>
      </c>
      <c r="GN22" s="52">
        <v>1072.99172</v>
      </c>
      <c r="GO22" s="55">
        <v>6.4651800000000001</v>
      </c>
      <c r="GP22" s="52">
        <v>1607.7775200000003</v>
      </c>
      <c r="GQ22" s="55">
        <v>77.379419999999996</v>
      </c>
      <c r="GR22" s="52">
        <v>2163.26127</v>
      </c>
      <c r="GS22" s="55">
        <v>84.095690000000005</v>
      </c>
      <c r="GT22" s="52">
        <v>2670.84663</v>
      </c>
      <c r="GU22" s="55">
        <v>131.33091999999999</v>
      </c>
      <c r="GV22" s="52">
        <v>2899.3991599999999</v>
      </c>
      <c r="GW22" s="55">
        <v>249.07040000000001</v>
      </c>
      <c r="GX22" s="52">
        <v>3642.0877399999999</v>
      </c>
      <c r="GY22" s="55">
        <v>302.59563000000003</v>
      </c>
      <c r="GZ22" s="52">
        <v>4325.3569799999996</v>
      </c>
      <c r="HA22" s="55">
        <v>306.98151000000001</v>
      </c>
      <c r="HB22" s="52">
        <v>5727.6611199999998</v>
      </c>
      <c r="HC22" s="55">
        <v>319.90190999999999</v>
      </c>
      <c r="HD22" s="52">
        <v>6246.7584399999996</v>
      </c>
      <c r="HE22" s="55">
        <v>384.46841000000001</v>
      </c>
      <c r="HF22" s="52">
        <v>6709.94481</v>
      </c>
      <c r="HG22" s="55">
        <v>432.22800999999998</v>
      </c>
      <c r="HH22" s="52">
        <v>7558.7165299999997</v>
      </c>
      <c r="HI22" s="55">
        <v>436.76355000000001</v>
      </c>
      <c r="HJ22" s="52">
        <v>446.98374000000001</v>
      </c>
      <c r="HK22" s="55">
        <v>57.012090000000001</v>
      </c>
      <c r="HL22" s="52">
        <v>1273.6259700000001</v>
      </c>
      <c r="HM22" s="55">
        <v>65.732429999999994</v>
      </c>
      <c r="HN22" s="52">
        <v>1727.49945</v>
      </c>
      <c r="HO22" s="55">
        <v>69.656580000000005</v>
      </c>
      <c r="HP22" s="52">
        <v>2814.5438100000001</v>
      </c>
      <c r="HQ22" s="55">
        <v>81.952879999999993</v>
      </c>
      <c r="HR22" s="52">
        <v>3506.49379</v>
      </c>
      <c r="HS22" s="55">
        <v>117.58677</v>
      </c>
      <c r="HT22" s="52">
        <v>4039.6744800000001</v>
      </c>
      <c r="HU22" s="55">
        <v>181.73553999999999</v>
      </c>
      <c r="HV22" s="52">
        <v>4490.90229</v>
      </c>
      <c r="HW22" s="55">
        <v>186.79334</v>
      </c>
      <c r="HX22" s="52">
        <v>5062.4818299999997</v>
      </c>
      <c r="HY22" s="55">
        <v>406.06105000000002</v>
      </c>
      <c r="HZ22" s="52">
        <v>5642.6801100000002</v>
      </c>
      <c r="IA22" s="55">
        <v>411.70485000000002</v>
      </c>
      <c r="IB22" s="16" t="s">
        <v>112</v>
      </c>
    </row>
    <row r="23" spans="1:238" s="9" customFormat="1" ht="22.5" customHeight="1" x14ac:dyDescent="0.4">
      <c r="A23" s="14" t="s">
        <v>50</v>
      </c>
      <c r="B23" s="44">
        <f t="shared" ref="B23:BM23" si="170">B24+B36+B46+B48</f>
        <v>15393.318160000001</v>
      </c>
      <c r="C23" s="44">
        <f t="shared" si="170"/>
        <v>1410.7293800000002</v>
      </c>
      <c r="D23" s="44">
        <f t="shared" si="170"/>
        <v>23716.770500437997</v>
      </c>
      <c r="E23" s="44">
        <f t="shared" si="170"/>
        <v>2772.2653799999998</v>
      </c>
      <c r="F23" s="44">
        <f t="shared" si="170"/>
        <v>31775.571260000001</v>
      </c>
      <c r="G23" s="44">
        <f t="shared" si="170"/>
        <v>4665.8683999999994</v>
      </c>
      <c r="H23" s="44">
        <f t="shared" si="170"/>
        <v>37227.892619999999</v>
      </c>
      <c r="I23" s="44">
        <f t="shared" si="170"/>
        <v>6473.6045300000005</v>
      </c>
      <c r="J23" s="44">
        <f t="shared" si="170"/>
        <v>46188.407200000001</v>
      </c>
      <c r="K23" s="44">
        <f t="shared" si="170"/>
        <v>10689.53327</v>
      </c>
      <c r="L23" s="44">
        <f t="shared" si="170"/>
        <v>54150.523780000003</v>
      </c>
      <c r="M23" s="44">
        <f t="shared" si="170"/>
        <v>12524.335360000001</v>
      </c>
      <c r="N23" s="44">
        <f t="shared" si="170"/>
        <v>68011.743950000004</v>
      </c>
      <c r="O23" s="44">
        <f t="shared" si="170"/>
        <v>13468.262409999999</v>
      </c>
      <c r="P23" s="44">
        <f t="shared" si="170"/>
        <v>74487.994810000004</v>
      </c>
      <c r="Q23" s="44">
        <f t="shared" si="170"/>
        <v>14643.477079999997</v>
      </c>
      <c r="R23" s="44">
        <f t="shared" si="170"/>
        <v>87185.061090000003</v>
      </c>
      <c r="S23" s="44">
        <f t="shared" si="170"/>
        <v>15901.749579999996</v>
      </c>
      <c r="T23" s="44">
        <f t="shared" si="170"/>
        <v>93900.643590000022</v>
      </c>
      <c r="U23" s="44">
        <f t="shared" si="170"/>
        <v>16874.929659999998</v>
      </c>
      <c r="V23" s="44">
        <f t="shared" si="170"/>
        <v>101392.07975</v>
      </c>
      <c r="W23" s="44">
        <f t="shared" si="170"/>
        <v>17831.059049999996</v>
      </c>
      <c r="X23" s="44">
        <f t="shared" si="170"/>
        <v>106837.16805000001</v>
      </c>
      <c r="Y23" s="44">
        <f t="shared" si="170"/>
        <v>19187.795759999997</v>
      </c>
      <c r="Z23" s="44">
        <f t="shared" si="170"/>
        <v>14947.149960000001</v>
      </c>
      <c r="AA23" s="44">
        <f t="shared" si="170"/>
        <v>1474.4426199999998</v>
      </c>
      <c r="AB23" s="44">
        <f t="shared" si="170"/>
        <v>26050.536649999998</v>
      </c>
      <c r="AC23" s="44">
        <f t="shared" si="170"/>
        <v>2427.2152299999998</v>
      </c>
      <c r="AD23" s="44">
        <f t="shared" si="170"/>
        <v>44866.046999999999</v>
      </c>
      <c r="AE23" s="44">
        <f t="shared" si="170"/>
        <v>2954.3515600000001</v>
      </c>
      <c r="AF23" s="44">
        <f t="shared" si="170"/>
        <v>53546.90969</v>
      </c>
      <c r="AG23" s="44">
        <f t="shared" si="170"/>
        <v>4001.4651499999995</v>
      </c>
      <c r="AH23" s="44">
        <f t="shared" si="170"/>
        <v>61646.813880000002</v>
      </c>
      <c r="AI23" s="44">
        <f t="shared" si="170"/>
        <v>5578.1766600000001</v>
      </c>
      <c r="AJ23" s="44">
        <f t="shared" si="170"/>
        <v>69473.03433000001</v>
      </c>
      <c r="AK23" s="44">
        <f t="shared" si="170"/>
        <v>7311.1036200000008</v>
      </c>
      <c r="AL23" s="44">
        <f t="shared" si="170"/>
        <v>87062.043720000016</v>
      </c>
      <c r="AM23" s="44">
        <f t="shared" si="170"/>
        <v>8893.9288100000012</v>
      </c>
      <c r="AN23" s="44">
        <f t="shared" si="170"/>
        <v>95535.003800000006</v>
      </c>
      <c r="AO23" s="44">
        <f t="shared" si="170"/>
        <v>9785.5711700000011</v>
      </c>
      <c r="AP23" s="44">
        <f t="shared" si="170"/>
        <v>110125.75773000003</v>
      </c>
      <c r="AQ23" s="44">
        <f t="shared" si="170"/>
        <v>11605.260829999999</v>
      </c>
      <c r="AR23" s="44">
        <f t="shared" si="170"/>
        <v>117244.30946</v>
      </c>
      <c r="AS23" s="44">
        <f t="shared" si="170"/>
        <v>13188.516279999998</v>
      </c>
      <c r="AT23" s="44">
        <f t="shared" si="170"/>
        <v>124158.46039999998</v>
      </c>
      <c r="AU23" s="44">
        <f t="shared" si="170"/>
        <v>14910.128089999998</v>
      </c>
      <c r="AV23" s="44">
        <f t="shared" si="170"/>
        <v>136331.17596999998</v>
      </c>
      <c r="AW23" s="44">
        <f t="shared" si="170"/>
        <v>17028.966639999999</v>
      </c>
      <c r="AX23" s="44">
        <f t="shared" si="170"/>
        <v>15041.954090000003</v>
      </c>
      <c r="AY23" s="44">
        <f t="shared" si="170"/>
        <v>1289.7617500000001</v>
      </c>
      <c r="AZ23" s="44">
        <f t="shared" si="170"/>
        <v>26009.84849</v>
      </c>
      <c r="BA23" s="44">
        <f t="shared" si="170"/>
        <v>2718.09033</v>
      </c>
      <c r="BB23" s="44">
        <f t="shared" si="170"/>
        <v>33059.39473</v>
      </c>
      <c r="BC23" s="44">
        <f t="shared" si="170"/>
        <v>3728.8150599999999</v>
      </c>
      <c r="BD23" s="44">
        <f t="shared" si="170"/>
        <v>41727.703840000002</v>
      </c>
      <c r="BE23" s="44">
        <f t="shared" si="170"/>
        <v>5077.0353499999992</v>
      </c>
      <c r="BF23" s="44">
        <f t="shared" si="170"/>
        <v>53557.296720000013</v>
      </c>
      <c r="BG23" s="44">
        <f t="shared" si="170"/>
        <v>11035.18511</v>
      </c>
      <c r="BH23" s="44">
        <f t="shared" si="170"/>
        <v>63078.070099999997</v>
      </c>
      <c r="BI23" s="44">
        <f t="shared" si="170"/>
        <v>13771.346249999999</v>
      </c>
      <c r="BJ23" s="44">
        <f t="shared" si="170"/>
        <v>79651.070260000008</v>
      </c>
      <c r="BK23" s="44">
        <f t="shared" si="170"/>
        <v>15845.91454</v>
      </c>
      <c r="BL23" s="44">
        <f t="shared" si="170"/>
        <v>87194.63483000001</v>
      </c>
      <c r="BM23" s="44">
        <f t="shared" si="170"/>
        <v>17049.370160000002</v>
      </c>
      <c r="BN23" s="44">
        <f t="shared" ref="BN23:DY23" si="171">BN24+BN36+BN46+BN48</f>
        <v>104146.26009</v>
      </c>
      <c r="BO23" s="44">
        <f t="shared" si="171"/>
        <v>18879.37645</v>
      </c>
      <c r="BP23" s="44">
        <f t="shared" si="171"/>
        <v>113910.21667000001</v>
      </c>
      <c r="BQ23" s="44">
        <f t="shared" si="171"/>
        <v>20507.4018</v>
      </c>
      <c r="BR23" s="44">
        <f t="shared" si="171"/>
        <v>122899.03698</v>
      </c>
      <c r="BS23" s="44">
        <f t="shared" si="171"/>
        <v>22005.349319999998</v>
      </c>
      <c r="BT23" s="44">
        <f t="shared" si="171"/>
        <v>133113.11752</v>
      </c>
      <c r="BU23" s="44">
        <f t="shared" si="171"/>
        <v>37693.716599999992</v>
      </c>
      <c r="BV23" s="44">
        <f t="shared" si="171"/>
        <v>22673.933199999999</v>
      </c>
      <c r="BW23" s="44">
        <f t="shared" si="171"/>
        <v>1377.8564099999999</v>
      </c>
      <c r="BX23" s="44">
        <f t="shared" si="171"/>
        <v>31890.715340000002</v>
      </c>
      <c r="BY23" s="44">
        <f t="shared" si="171"/>
        <v>3203.7919400000005</v>
      </c>
      <c r="BZ23" s="44">
        <f t="shared" si="171"/>
        <v>39975.367299999991</v>
      </c>
      <c r="CA23" s="44">
        <f t="shared" si="171"/>
        <v>4938.8200200000001</v>
      </c>
      <c r="CB23" s="44">
        <f t="shared" si="171"/>
        <v>47338.058029999986</v>
      </c>
      <c r="CC23" s="44">
        <f t="shared" si="171"/>
        <v>7393.7543099999994</v>
      </c>
      <c r="CD23" s="44">
        <f t="shared" si="171"/>
        <v>57178.358769999992</v>
      </c>
      <c r="CE23" s="44">
        <f t="shared" si="171"/>
        <v>8791.3352800000011</v>
      </c>
      <c r="CF23" s="44">
        <f t="shared" si="171"/>
        <v>68762.93266999998</v>
      </c>
      <c r="CG23" s="44">
        <f t="shared" si="171"/>
        <v>9862.3673499999986</v>
      </c>
      <c r="CH23" s="44">
        <f t="shared" si="171"/>
        <v>90004.736980000001</v>
      </c>
      <c r="CI23" s="44">
        <f t="shared" si="171"/>
        <v>11230.770659999998</v>
      </c>
      <c r="CJ23" s="44">
        <f t="shared" si="171"/>
        <v>108703.06781000002</v>
      </c>
      <c r="CK23" s="44">
        <f t="shared" si="171"/>
        <v>12910.94728</v>
      </c>
      <c r="CL23" s="44">
        <f t="shared" si="171"/>
        <v>122275.74513000001</v>
      </c>
      <c r="CM23" s="44">
        <f t="shared" si="171"/>
        <v>25501.530770000001</v>
      </c>
      <c r="CN23" s="44">
        <f t="shared" si="171"/>
        <v>130094.63052000004</v>
      </c>
      <c r="CO23" s="44">
        <f t="shared" si="171"/>
        <v>26666.373560000004</v>
      </c>
      <c r="CP23" s="44">
        <f t="shared" si="171"/>
        <v>136236.00354000003</v>
      </c>
      <c r="CQ23" s="44">
        <f t="shared" si="171"/>
        <v>28617.953359999996</v>
      </c>
      <c r="CR23" s="44">
        <f t="shared" si="171"/>
        <v>147080.19944000003</v>
      </c>
      <c r="CS23" s="44">
        <f t="shared" si="171"/>
        <v>29963.593430000001</v>
      </c>
      <c r="CT23" s="44">
        <f t="shared" si="171"/>
        <v>15833.62392</v>
      </c>
      <c r="CU23" s="44">
        <f t="shared" si="171"/>
        <v>1075.2158200000001</v>
      </c>
      <c r="CV23" s="44">
        <f t="shared" si="171"/>
        <v>25441.285159999999</v>
      </c>
      <c r="CW23" s="44">
        <f t="shared" si="171"/>
        <v>2382.4197300000001</v>
      </c>
      <c r="CX23" s="44">
        <f t="shared" si="171"/>
        <v>38933.989690000002</v>
      </c>
      <c r="CY23" s="44">
        <f t="shared" si="171"/>
        <v>4109.4624700000004</v>
      </c>
      <c r="CZ23" s="44">
        <f t="shared" si="171"/>
        <v>46688.120170000017</v>
      </c>
      <c r="DA23" s="44">
        <f t="shared" si="171"/>
        <v>7901.1891900000001</v>
      </c>
      <c r="DB23" s="44">
        <f t="shared" si="171"/>
        <v>56876.181639999988</v>
      </c>
      <c r="DC23" s="44">
        <f t="shared" si="171"/>
        <v>9489.0028999999977</v>
      </c>
      <c r="DD23" s="44">
        <f t="shared" si="171"/>
        <v>73083.681660000002</v>
      </c>
      <c r="DE23" s="44">
        <f t="shared" si="171"/>
        <v>11770.010299999998</v>
      </c>
      <c r="DF23" s="44">
        <f t="shared" si="171"/>
        <v>95295.47662999999</v>
      </c>
      <c r="DG23" s="44">
        <f t="shared" si="171"/>
        <v>13273.55227</v>
      </c>
      <c r="DH23" s="44">
        <f t="shared" si="171"/>
        <v>102415.41390999999</v>
      </c>
      <c r="DI23" s="44">
        <f t="shared" si="171"/>
        <v>14782.754519999999</v>
      </c>
      <c r="DJ23" s="44">
        <f t="shared" si="171"/>
        <v>117700.55867</v>
      </c>
      <c r="DK23" s="44">
        <f t="shared" si="171"/>
        <v>16885.531800000001</v>
      </c>
      <c r="DL23" s="44">
        <f t="shared" si="171"/>
        <v>128204.06697</v>
      </c>
      <c r="DM23" s="44">
        <f t="shared" si="171"/>
        <v>18717.36061</v>
      </c>
      <c r="DN23" s="44">
        <f t="shared" si="171"/>
        <v>137159.85345</v>
      </c>
      <c r="DO23" s="44">
        <f t="shared" si="171"/>
        <v>20803.508839999995</v>
      </c>
      <c r="DP23" s="44">
        <f t="shared" si="171"/>
        <v>158631.78047</v>
      </c>
      <c r="DQ23" s="45">
        <f t="shared" si="171"/>
        <v>24180.131039999997</v>
      </c>
      <c r="DR23" s="46">
        <f t="shared" si="171"/>
        <v>16643.900389999999</v>
      </c>
      <c r="DS23" s="47">
        <f t="shared" si="171"/>
        <v>1280.2204199999999</v>
      </c>
      <c r="DT23" s="48">
        <f t="shared" si="171"/>
        <v>28744.746279999999</v>
      </c>
      <c r="DU23" s="45">
        <f t="shared" si="171"/>
        <v>3148.9565600000001</v>
      </c>
      <c r="DV23" s="46">
        <f t="shared" si="171"/>
        <v>36854.47107</v>
      </c>
      <c r="DW23" s="47">
        <f t="shared" si="171"/>
        <v>4455.9380899999996</v>
      </c>
      <c r="DX23" s="48">
        <f t="shared" si="171"/>
        <v>46814.461499999998</v>
      </c>
      <c r="DY23" s="45">
        <f t="shared" si="171"/>
        <v>6427.4780200000005</v>
      </c>
      <c r="DZ23" s="46">
        <f t="shared" ref="DZ23:EE23" si="172">DZ24+DZ36+DZ46+DZ48</f>
        <v>63114.360120000005</v>
      </c>
      <c r="EA23" s="47">
        <f t="shared" si="172"/>
        <v>8132.8568599999999</v>
      </c>
      <c r="EB23" s="48">
        <f t="shared" si="172"/>
        <v>79958.212650000001</v>
      </c>
      <c r="EC23" s="45">
        <f t="shared" si="172"/>
        <v>9536.6738499999992</v>
      </c>
      <c r="ED23" s="46">
        <f t="shared" si="172"/>
        <v>104187.80867000001</v>
      </c>
      <c r="EE23" s="47">
        <f t="shared" si="172"/>
        <v>10826.671619999999</v>
      </c>
      <c r="EF23" s="46">
        <f t="shared" ref="EF23:EM23" si="173">EF24+EF36+EF46+EF48</f>
        <v>120874.38999000001</v>
      </c>
      <c r="EG23" s="49">
        <f t="shared" si="173"/>
        <v>12486.12384</v>
      </c>
      <c r="EH23" s="46">
        <f t="shared" si="173"/>
        <v>138145.88939999999</v>
      </c>
      <c r="EI23" s="49">
        <f t="shared" si="173"/>
        <v>14490.028930000002</v>
      </c>
      <c r="EJ23" s="46">
        <f t="shared" si="173"/>
        <v>147518.22761999999</v>
      </c>
      <c r="EK23" s="49">
        <f t="shared" si="173"/>
        <v>17393.243930000001</v>
      </c>
      <c r="EL23" s="46">
        <f t="shared" si="173"/>
        <v>157893.34492</v>
      </c>
      <c r="EM23" s="49">
        <f t="shared" si="173"/>
        <v>18973.87239</v>
      </c>
      <c r="EN23" s="46">
        <f t="shared" ref="EN23:EO23" si="174">EN24+EN36+EN46+EN48</f>
        <v>181656.61991999997</v>
      </c>
      <c r="EO23" s="49">
        <f t="shared" si="174"/>
        <v>21975.770540000001</v>
      </c>
      <c r="EP23" s="46">
        <f t="shared" ref="EP23:EQ23" si="175">EP24+EP36+EP46+EP48</f>
        <v>20910.494330000001</v>
      </c>
      <c r="EQ23" s="49">
        <f t="shared" si="175"/>
        <v>1520.4411499999999</v>
      </c>
      <c r="ER23" s="46">
        <f t="shared" ref="ER23:ES23" si="176">ER24+ER36+ER46+ER48</f>
        <v>35719.49783</v>
      </c>
      <c r="ES23" s="49">
        <f t="shared" si="176"/>
        <v>3682.0781500000003</v>
      </c>
      <c r="ET23" s="46">
        <f t="shared" ref="ET23:EU23" si="177">ET24+ET36+ET46+ET48</f>
        <v>51630.323220000006</v>
      </c>
      <c r="EU23" s="49">
        <f t="shared" si="177"/>
        <v>5911.5200800000002</v>
      </c>
      <c r="EV23" s="46">
        <f t="shared" ref="EV23:EW23" si="178">EV24+EV36+EV46+EV48</f>
        <v>61268.630100000009</v>
      </c>
      <c r="EW23" s="49">
        <f t="shared" si="178"/>
        <v>8090.2180699999999</v>
      </c>
      <c r="EX23" s="46">
        <f t="shared" ref="EX23:EY23" si="179">EX24+EX36+EX46+EX48</f>
        <v>76769.585370000001</v>
      </c>
      <c r="EY23" s="49">
        <f t="shared" si="179"/>
        <v>10316.606519999999</v>
      </c>
      <c r="EZ23" s="46">
        <f t="shared" ref="EZ23:FA23" si="180">EZ24+EZ36+EZ46+EZ48</f>
        <v>95643.182950000017</v>
      </c>
      <c r="FA23" s="49">
        <f t="shared" si="180"/>
        <v>12200.11528</v>
      </c>
      <c r="FB23" s="46">
        <f t="shared" ref="FB23:FC23" si="181">FB24+FB36+FB46+FB48</f>
        <v>129337.74001000001</v>
      </c>
      <c r="FC23" s="49">
        <f t="shared" si="181"/>
        <v>13794.059690000002</v>
      </c>
      <c r="FD23" s="46">
        <f t="shared" ref="FD23:FE23" si="182">FD24+FD36+FD46+FD48</f>
        <v>143260.39268999998</v>
      </c>
      <c r="FE23" s="49">
        <f t="shared" si="182"/>
        <v>30701.313709999999</v>
      </c>
      <c r="FF23" s="46">
        <f t="shared" ref="FF23:FG23" si="183">FF24+FF36+FF46+FF48</f>
        <v>157374.42329000001</v>
      </c>
      <c r="FG23" s="49">
        <f t="shared" si="183"/>
        <v>43544.893910000006</v>
      </c>
      <c r="FH23" s="46">
        <f t="shared" ref="FH23:FI23" si="184">FH24+FH36+FH46+FH48</f>
        <v>176565.47085999997</v>
      </c>
      <c r="FI23" s="49">
        <f t="shared" si="184"/>
        <v>48682.644000000008</v>
      </c>
      <c r="FJ23" s="46">
        <f t="shared" ref="FJ23:FK23" si="185">FJ24+FJ36+FJ46+FJ48</f>
        <v>191157.51986</v>
      </c>
      <c r="FK23" s="49">
        <f t="shared" si="185"/>
        <v>52570.882809999996</v>
      </c>
      <c r="FL23" s="46">
        <f t="shared" ref="FL23:FM23" si="186">FL24+FL36+FL46+FL48</f>
        <v>210879.35188999999</v>
      </c>
      <c r="FM23" s="49">
        <f t="shared" si="186"/>
        <v>101372.50466000001</v>
      </c>
      <c r="FN23" s="46">
        <f t="shared" ref="FN23:FO23" si="187">FN24+FN36+FN46+FN48</f>
        <v>25395.91084</v>
      </c>
      <c r="FO23" s="49">
        <f t="shared" si="187"/>
        <v>2719.0765999999999</v>
      </c>
      <c r="FP23" s="46">
        <f t="shared" ref="FP23:FQ23" si="188">FP24+FP36+FP46+FP48</f>
        <v>39726.122099999993</v>
      </c>
      <c r="FQ23" s="49">
        <f t="shared" si="188"/>
        <v>5423.6080499999998</v>
      </c>
      <c r="FR23" s="46">
        <f t="shared" ref="FR23:FS23" si="189">FR24+FR36+FR46+FR48</f>
        <v>52447.637719999999</v>
      </c>
      <c r="FS23" s="49">
        <f t="shared" si="189"/>
        <v>7295.1514500000003</v>
      </c>
      <c r="FT23" s="46">
        <f t="shared" ref="FT23:FU23" si="190">FT24+FT36+FT46+FT48</f>
        <v>66432.664109999998</v>
      </c>
      <c r="FU23" s="49">
        <f t="shared" si="190"/>
        <v>10047.645600000002</v>
      </c>
      <c r="FV23" s="46">
        <f t="shared" ref="FV23:FW23" si="191">FV24+FV36+FV46+FV48</f>
        <v>84151.747300000017</v>
      </c>
      <c r="FW23" s="49">
        <f t="shared" si="191"/>
        <v>13293.21854</v>
      </c>
      <c r="FX23" s="46">
        <f t="shared" ref="FX23:FY23" si="192">FX24+FX36+FX46+FX48</f>
        <v>97810.036289999989</v>
      </c>
      <c r="FY23" s="49">
        <f t="shared" si="192"/>
        <v>16229.463770000004</v>
      </c>
      <c r="FZ23" s="46">
        <f t="shared" ref="FZ23:GA23" si="193">FZ24+FZ36+FZ46+FZ48</f>
        <v>130125.10261</v>
      </c>
      <c r="GA23" s="49">
        <f t="shared" si="193"/>
        <v>18768.745859999999</v>
      </c>
      <c r="GB23" s="46">
        <f t="shared" ref="GB23:GE23" si="194">GB24+GB36+GB46+GB48</f>
        <v>149711.10244000002</v>
      </c>
      <c r="GC23" s="49">
        <f t="shared" si="194"/>
        <v>21083.604110000004</v>
      </c>
      <c r="GD23" s="46">
        <f t="shared" si="194"/>
        <v>166286.3388</v>
      </c>
      <c r="GE23" s="49">
        <f t="shared" si="194"/>
        <v>23632.661100000001</v>
      </c>
      <c r="GF23" s="46">
        <f t="shared" ref="GF23:GG23" si="195">GF24+GF36+GF46+GF48</f>
        <v>178834.86542000002</v>
      </c>
      <c r="GG23" s="49">
        <f t="shared" si="195"/>
        <v>26945.956850000002</v>
      </c>
      <c r="GH23" s="46">
        <f t="shared" ref="GH23:GI23" si="196">GH24+GH36+GH46+GH48</f>
        <v>201636.31839999999</v>
      </c>
      <c r="GI23" s="49">
        <f t="shared" si="196"/>
        <v>32771.148509999992</v>
      </c>
      <c r="GJ23" s="46">
        <f t="shared" ref="GJ23:GK23" si="197">GJ24+GJ36+GJ46+GJ48</f>
        <v>233506.67104000002</v>
      </c>
      <c r="GK23" s="49">
        <f t="shared" si="197"/>
        <v>37924.348259999992</v>
      </c>
      <c r="GL23" s="46">
        <f t="shared" ref="GL23:GQ23" si="198">GL24+GL36+GL46+GL48</f>
        <v>25501.88535</v>
      </c>
      <c r="GM23" s="49">
        <f t="shared" si="198"/>
        <v>3410.6844699999997</v>
      </c>
      <c r="GN23" s="46">
        <f t="shared" si="198"/>
        <v>40308.599170000001</v>
      </c>
      <c r="GO23" s="49">
        <f t="shared" si="198"/>
        <v>6026.5148599999993</v>
      </c>
      <c r="GP23" s="46">
        <f t="shared" si="198"/>
        <v>52754.968339999985</v>
      </c>
      <c r="GQ23" s="49">
        <f t="shared" si="198"/>
        <v>8509.4817600000006</v>
      </c>
      <c r="GR23" s="46">
        <f t="shared" ref="GR23:GS23" si="199">GR24+GR36+GR46+GR48</f>
        <v>70817.933049999992</v>
      </c>
      <c r="GS23" s="49">
        <f t="shared" si="199"/>
        <v>13380.82813</v>
      </c>
      <c r="GT23" s="46">
        <f t="shared" ref="GT23:GU23" si="200">GT24+GT36+GT46+GT48</f>
        <v>89352.89850000001</v>
      </c>
      <c r="GU23" s="49">
        <f t="shared" si="200"/>
        <v>17546.816600000002</v>
      </c>
      <c r="GV23" s="46">
        <f t="shared" ref="GV23:GW23" si="201">GV24+GV36+GV46+GV48</f>
        <v>106960.50299000001</v>
      </c>
      <c r="GW23" s="49">
        <f t="shared" si="201"/>
        <v>20228.036039999999</v>
      </c>
      <c r="GX23" s="46">
        <f t="shared" ref="GX23:GY23" si="202">GX24+GX36+GX46+GX48</f>
        <v>144811.18181000001</v>
      </c>
      <c r="GY23" s="49">
        <f t="shared" si="202"/>
        <v>24546.776809999999</v>
      </c>
      <c r="GZ23" s="46">
        <f t="shared" ref="GZ23:HA23" si="203">GZ24+GZ36+GZ46+GZ48</f>
        <v>161291.37543000001</v>
      </c>
      <c r="HA23" s="49">
        <f t="shared" si="203"/>
        <v>27600.501910000003</v>
      </c>
      <c r="HB23" s="46">
        <f t="shared" ref="HB23:HC23" si="204">HB24+HB36+HB46+HB48</f>
        <v>182664.96269999997</v>
      </c>
      <c r="HC23" s="49">
        <f t="shared" si="204"/>
        <v>31328.694650000001</v>
      </c>
      <c r="HD23" s="46">
        <f t="shared" ref="HD23:HE23" si="205">HD24+HD36+HD46+HD48</f>
        <v>196251.66614000004</v>
      </c>
      <c r="HE23" s="49">
        <f t="shared" si="205"/>
        <v>34943.241729999994</v>
      </c>
      <c r="HF23" s="46">
        <f t="shared" ref="HF23:HG23" si="206">HF24+HF36+HF46+HF48</f>
        <v>216591.19819</v>
      </c>
      <c r="HG23" s="49">
        <f t="shared" si="206"/>
        <v>40582.421899999994</v>
      </c>
      <c r="HH23" s="46">
        <f t="shared" ref="HH23:HI23" si="207">HH24+HH36+HH46+HH48</f>
        <v>240878.41417000003</v>
      </c>
      <c r="HI23" s="49">
        <f t="shared" si="207"/>
        <v>46473.771230000006</v>
      </c>
      <c r="HJ23" s="46">
        <f t="shared" ref="HJ23:HK23" si="208">HJ24+HJ36+HJ46+HJ48</f>
        <v>25994.814960000003</v>
      </c>
      <c r="HK23" s="49">
        <f t="shared" si="208"/>
        <v>2648.9509699999999</v>
      </c>
      <c r="HL23" s="46">
        <f t="shared" ref="HL23:HM23" si="209">HL24+HL36+HL46+HL48</f>
        <v>47878.002460000003</v>
      </c>
      <c r="HM23" s="49">
        <f t="shared" si="209"/>
        <v>6753.572900000001</v>
      </c>
      <c r="HN23" s="46">
        <f t="shared" ref="HN23:HO23" si="210">HN24+HN36+HN46+HN48</f>
        <v>65901.26989000001</v>
      </c>
      <c r="HO23" s="49">
        <f t="shared" si="210"/>
        <v>9569.97012</v>
      </c>
      <c r="HP23" s="46">
        <f t="shared" ref="HP23:HQ23" si="211">HP24+HP36+HP46+HP48</f>
        <v>88228.879520000002</v>
      </c>
      <c r="HQ23" s="49">
        <f t="shared" si="211"/>
        <v>14374.650609999997</v>
      </c>
      <c r="HR23" s="46">
        <f t="shared" ref="HR23:HS23" si="212">HR24+HR36+HR46+HR48</f>
        <v>104316.29851000001</v>
      </c>
      <c r="HS23" s="49">
        <f t="shared" si="212"/>
        <v>18458.203909999997</v>
      </c>
      <c r="HT23" s="46">
        <f t="shared" ref="HT23:HU23" si="213">HT24+HT36+HT46+HT48</f>
        <v>139408.19032000005</v>
      </c>
      <c r="HU23" s="49">
        <f t="shared" si="213"/>
        <v>22658.99091</v>
      </c>
      <c r="HV23" s="46">
        <f t="shared" ref="HV23:HW23" si="214">HV24+HV36+HV46+HV48</f>
        <v>179280.14424999998</v>
      </c>
      <c r="HW23" s="49">
        <f t="shared" si="214"/>
        <v>27464.16447</v>
      </c>
      <c r="HX23" s="46">
        <f t="shared" ref="HX23:HY23" si="215">HX24+HX36+HX46+HX48</f>
        <v>196578.43135</v>
      </c>
      <c r="HY23" s="49">
        <f t="shared" si="215"/>
        <v>32163.401289999998</v>
      </c>
      <c r="HZ23" s="46">
        <f t="shared" ref="HZ23:IA23" si="216">HZ24+HZ36+HZ46+HZ48</f>
        <v>219597.29806000003</v>
      </c>
      <c r="IA23" s="49">
        <f t="shared" si="216"/>
        <v>37306.649830000009</v>
      </c>
      <c r="IB23" s="14" t="s">
        <v>51</v>
      </c>
    </row>
    <row r="24" spans="1:238" s="9" customFormat="1" ht="22.5" customHeight="1" x14ac:dyDescent="0.4">
      <c r="A24" s="14" t="s">
        <v>52</v>
      </c>
      <c r="B24" s="44">
        <f t="shared" ref="B24:AP24" si="217">SUM(B25:B33)</f>
        <v>11386.108340000001</v>
      </c>
      <c r="C24" s="44">
        <f t="shared" si="217"/>
        <v>1100.4920300000001</v>
      </c>
      <c r="D24" s="44">
        <f t="shared" si="217"/>
        <v>17993.895695437997</v>
      </c>
      <c r="E24" s="44">
        <f t="shared" si="217"/>
        <v>2430.1043799999998</v>
      </c>
      <c r="F24" s="44">
        <f t="shared" si="217"/>
        <v>24251.5249</v>
      </c>
      <c r="G24" s="44">
        <f t="shared" si="217"/>
        <v>4285.6860899999992</v>
      </c>
      <c r="H24" s="44">
        <f t="shared" si="217"/>
        <v>28653.276650000003</v>
      </c>
      <c r="I24" s="44">
        <f t="shared" si="217"/>
        <v>5304.4887900000003</v>
      </c>
      <c r="J24" s="44">
        <f t="shared" si="217"/>
        <v>35857.903559999999</v>
      </c>
      <c r="K24" s="44">
        <f t="shared" si="217"/>
        <v>8713.5318900000002</v>
      </c>
      <c r="L24" s="44">
        <f t="shared" si="217"/>
        <v>42184.332980000007</v>
      </c>
      <c r="M24" s="44">
        <f t="shared" si="217"/>
        <v>10325.25878</v>
      </c>
      <c r="N24" s="44">
        <f t="shared" si="217"/>
        <v>53039.93406</v>
      </c>
      <c r="O24" s="44">
        <f t="shared" si="217"/>
        <v>11300.875789999998</v>
      </c>
      <c r="P24" s="44">
        <f t="shared" si="217"/>
        <v>58664.854329999995</v>
      </c>
      <c r="Q24" s="44">
        <f t="shared" si="217"/>
        <v>12467.794279999998</v>
      </c>
      <c r="R24" s="44">
        <f t="shared" si="217"/>
        <v>70354.558520000006</v>
      </c>
      <c r="S24" s="44">
        <f t="shared" si="217"/>
        <v>13562.437559999997</v>
      </c>
      <c r="T24" s="44">
        <f t="shared" si="217"/>
        <v>76070.552490000016</v>
      </c>
      <c r="U24" s="44">
        <f t="shared" si="217"/>
        <v>14531.876119999997</v>
      </c>
      <c r="V24" s="44">
        <f t="shared" si="217"/>
        <v>82695.202520000006</v>
      </c>
      <c r="W24" s="44">
        <f t="shared" si="217"/>
        <v>15455.208359999997</v>
      </c>
      <c r="X24" s="44">
        <f t="shared" si="217"/>
        <v>87517.481110000008</v>
      </c>
      <c r="Y24" s="44">
        <f t="shared" si="217"/>
        <v>16397.809709999998</v>
      </c>
      <c r="Z24" s="44">
        <f t="shared" si="217"/>
        <v>10844.12882</v>
      </c>
      <c r="AA24" s="44">
        <f t="shared" si="217"/>
        <v>950.20162999999991</v>
      </c>
      <c r="AB24" s="44">
        <f t="shared" si="217"/>
        <v>20717.01743</v>
      </c>
      <c r="AC24" s="44">
        <f t="shared" si="217"/>
        <v>1899.5230499999998</v>
      </c>
      <c r="AD24" s="44">
        <f t="shared" si="217"/>
        <v>36717.747259999996</v>
      </c>
      <c r="AE24" s="44">
        <f t="shared" si="217"/>
        <v>2416.6979900000001</v>
      </c>
      <c r="AF24" s="44">
        <f t="shared" si="217"/>
        <v>44395.069949999997</v>
      </c>
      <c r="AG24" s="44">
        <f t="shared" si="217"/>
        <v>3462.7523199999996</v>
      </c>
      <c r="AH24" s="44">
        <f t="shared" si="217"/>
        <v>50848.762589999998</v>
      </c>
      <c r="AI24" s="44">
        <f t="shared" si="217"/>
        <v>4421.5420999999997</v>
      </c>
      <c r="AJ24" s="44">
        <f t="shared" si="217"/>
        <v>58010.875969999994</v>
      </c>
      <c r="AK24" s="44">
        <f t="shared" si="217"/>
        <v>5879.1870200000003</v>
      </c>
      <c r="AL24" s="44">
        <f t="shared" si="217"/>
        <v>69120.539740000022</v>
      </c>
      <c r="AM24" s="44">
        <f t="shared" si="217"/>
        <v>7069.0427700000009</v>
      </c>
      <c r="AN24" s="44">
        <f t="shared" si="217"/>
        <v>77160.063850000006</v>
      </c>
      <c r="AO24" s="44">
        <f t="shared" si="217"/>
        <v>7955.4674000000005</v>
      </c>
      <c r="AP24" s="44">
        <f t="shared" si="217"/>
        <v>90776.989770000015</v>
      </c>
      <c r="AQ24" s="44">
        <f t="shared" ref="AQ24:DB24" si="218">SUM(AQ25:AQ33)</f>
        <v>9772.1059299999997</v>
      </c>
      <c r="AR24" s="44">
        <f t="shared" si="218"/>
        <v>96982.48431</v>
      </c>
      <c r="AS24" s="44">
        <f t="shared" si="218"/>
        <v>11343.784249999999</v>
      </c>
      <c r="AT24" s="44">
        <f t="shared" si="218"/>
        <v>103161.36994999998</v>
      </c>
      <c r="AU24" s="44">
        <f t="shared" si="218"/>
        <v>13062.018929999998</v>
      </c>
      <c r="AV24" s="44">
        <f t="shared" si="218"/>
        <v>112095.50434</v>
      </c>
      <c r="AW24" s="44">
        <f t="shared" si="218"/>
        <v>15074.405989999997</v>
      </c>
      <c r="AX24" s="44">
        <f t="shared" si="218"/>
        <v>10897.221530000003</v>
      </c>
      <c r="AY24" s="44">
        <f t="shared" si="218"/>
        <v>1281.77251</v>
      </c>
      <c r="AZ24" s="44">
        <f t="shared" si="218"/>
        <v>19191.785909999999</v>
      </c>
      <c r="BA24" s="44">
        <f t="shared" si="218"/>
        <v>2513.0135700000001</v>
      </c>
      <c r="BB24" s="44">
        <f t="shared" si="218"/>
        <v>24782.860700000005</v>
      </c>
      <c r="BC24" s="44">
        <f t="shared" si="218"/>
        <v>3506.8697999999999</v>
      </c>
      <c r="BD24" s="44">
        <f t="shared" si="218"/>
        <v>31642.022989999998</v>
      </c>
      <c r="BE24" s="44">
        <f t="shared" si="218"/>
        <v>4845.968429999999</v>
      </c>
      <c r="BF24" s="44">
        <f t="shared" si="218"/>
        <v>41290.006760000011</v>
      </c>
      <c r="BG24" s="44">
        <f t="shared" si="218"/>
        <v>10788.065340000001</v>
      </c>
      <c r="BH24" s="44">
        <f t="shared" si="218"/>
        <v>50205.568959999997</v>
      </c>
      <c r="BI24" s="44">
        <f t="shared" si="218"/>
        <v>13484.462309999999</v>
      </c>
      <c r="BJ24" s="44">
        <f t="shared" si="218"/>
        <v>63536.662080000009</v>
      </c>
      <c r="BK24" s="44">
        <f t="shared" si="218"/>
        <v>15537.42059</v>
      </c>
      <c r="BL24" s="44">
        <f t="shared" si="218"/>
        <v>70053.403359999997</v>
      </c>
      <c r="BM24" s="44">
        <f t="shared" si="218"/>
        <v>16721.815380000004</v>
      </c>
      <c r="BN24" s="44">
        <f t="shared" si="218"/>
        <v>86051.554629999984</v>
      </c>
      <c r="BO24" s="44">
        <f t="shared" si="218"/>
        <v>18324.641919999998</v>
      </c>
      <c r="BP24" s="44">
        <f t="shared" si="218"/>
        <v>94061.578740000012</v>
      </c>
      <c r="BQ24" s="44">
        <f t="shared" si="218"/>
        <v>19934.997199999998</v>
      </c>
      <c r="BR24" s="44">
        <f t="shared" si="218"/>
        <v>102254.18617</v>
      </c>
      <c r="BS24" s="44">
        <f t="shared" si="218"/>
        <v>20933.100609999998</v>
      </c>
      <c r="BT24" s="44">
        <f t="shared" si="218"/>
        <v>111710.56036</v>
      </c>
      <c r="BU24" s="44">
        <f t="shared" si="218"/>
        <v>36610.015319999991</v>
      </c>
      <c r="BV24" s="44">
        <f t="shared" si="218"/>
        <v>17850.02115</v>
      </c>
      <c r="BW24" s="44">
        <f t="shared" si="218"/>
        <v>1350.8927199999998</v>
      </c>
      <c r="BX24" s="44">
        <f t="shared" si="218"/>
        <v>24864.223700000002</v>
      </c>
      <c r="BY24" s="44">
        <f t="shared" si="218"/>
        <v>3138.3972300000005</v>
      </c>
      <c r="BZ24" s="44">
        <f t="shared" si="218"/>
        <v>31277.029389999996</v>
      </c>
      <c r="CA24" s="44">
        <f t="shared" si="218"/>
        <v>4612.9468999999999</v>
      </c>
      <c r="CB24" s="44">
        <f t="shared" si="218"/>
        <v>36962.526249999988</v>
      </c>
      <c r="CC24" s="44">
        <f t="shared" si="218"/>
        <v>7067.8811899999992</v>
      </c>
      <c r="CD24" s="44">
        <f t="shared" si="218"/>
        <v>44725.016569999992</v>
      </c>
      <c r="CE24" s="44">
        <f t="shared" si="218"/>
        <v>8465.4621600000009</v>
      </c>
      <c r="CF24" s="44">
        <f t="shared" si="218"/>
        <v>55258.609069999984</v>
      </c>
      <c r="CG24" s="44">
        <f t="shared" si="218"/>
        <v>9530.4143699999986</v>
      </c>
      <c r="CH24" s="44">
        <f t="shared" si="218"/>
        <v>73096.64966000001</v>
      </c>
      <c r="CI24" s="44">
        <f t="shared" si="218"/>
        <v>10876.114679999999</v>
      </c>
      <c r="CJ24" s="44">
        <f t="shared" si="218"/>
        <v>91330.637470000016</v>
      </c>
      <c r="CK24" s="44">
        <f t="shared" si="218"/>
        <v>12426.4053</v>
      </c>
      <c r="CL24" s="44">
        <f t="shared" si="218"/>
        <v>103753.46979</v>
      </c>
      <c r="CM24" s="44">
        <f t="shared" si="218"/>
        <v>24962.893789999998</v>
      </c>
      <c r="CN24" s="44">
        <f t="shared" si="218"/>
        <v>110735.48052000003</v>
      </c>
      <c r="CO24" s="44">
        <f t="shared" si="218"/>
        <v>26107.542580000001</v>
      </c>
      <c r="CP24" s="44">
        <f t="shared" si="218"/>
        <v>116417.77357000002</v>
      </c>
      <c r="CQ24" s="44">
        <f t="shared" si="218"/>
        <v>28047.481379999994</v>
      </c>
      <c r="CR24" s="44">
        <f t="shared" si="218"/>
        <v>125751.61469</v>
      </c>
      <c r="CS24" s="44">
        <f t="shared" si="218"/>
        <v>29373.650450000001</v>
      </c>
      <c r="CT24" s="44">
        <f t="shared" si="218"/>
        <v>11415.11507</v>
      </c>
      <c r="CU24" s="44">
        <f t="shared" si="218"/>
        <v>1050.5648200000001</v>
      </c>
      <c r="CV24" s="44">
        <f t="shared" si="218"/>
        <v>18897.326859999997</v>
      </c>
      <c r="CW24" s="44">
        <f t="shared" si="218"/>
        <v>2346.1130900000003</v>
      </c>
      <c r="CX24" s="44">
        <f t="shared" si="218"/>
        <v>29159.631959999999</v>
      </c>
      <c r="CY24" s="44">
        <f t="shared" si="218"/>
        <v>4037.7578600000002</v>
      </c>
      <c r="CZ24" s="44">
        <f t="shared" si="218"/>
        <v>36135.02436000001</v>
      </c>
      <c r="DA24" s="44">
        <f t="shared" si="218"/>
        <v>7796.67688</v>
      </c>
      <c r="DB24" s="44">
        <f t="shared" si="218"/>
        <v>44636.674429999992</v>
      </c>
      <c r="DC24" s="44">
        <f t="shared" ref="DC24:EE24" si="219">SUM(DC25:DC33)</f>
        <v>9365.8924899999984</v>
      </c>
      <c r="DD24" s="44">
        <f t="shared" si="219"/>
        <v>59927.899400000002</v>
      </c>
      <c r="DE24" s="44">
        <f t="shared" si="219"/>
        <v>11607.268429999998</v>
      </c>
      <c r="DF24" s="44">
        <f t="shared" si="219"/>
        <v>78823.469389999998</v>
      </c>
      <c r="DG24" s="44">
        <f t="shared" si="219"/>
        <v>12973.517449999999</v>
      </c>
      <c r="DH24" s="44">
        <f t="shared" si="219"/>
        <v>85432.300029999999</v>
      </c>
      <c r="DI24" s="44">
        <f t="shared" si="219"/>
        <v>14448.619699999999</v>
      </c>
      <c r="DJ24" s="44">
        <f t="shared" si="219"/>
        <v>99889.907500000001</v>
      </c>
      <c r="DK24" s="44">
        <f t="shared" si="219"/>
        <v>16219.782860000001</v>
      </c>
      <c r="DL24" s="44">
        <f t="shared" si="219"/>
        <v>109689.57196</v>
      </c>
      <c r="DM24" s="44">
        <f t="shared" si="219"/>
        <v>18030.966329999999</v>
      </c>
      <c r="DN24" s="44">
        <f t="shared" si="219"/>
        <v>118143.98946</v>
      </c>
      <c r="DO24" s="44">
        <f t="shared" si="219"/>
        <v>20095.192279999996</v>
      </c>
      <c r="DP24" s="44">
        <f t="shared" si="219"/>
        <v>134415.61442999999</v>
      </c>
      <c r="DQ24" s="45">
        <f t="shared" si="219"/>
        <v>23449.047479999997</v>
      </c>
      <c r="DR24" s="46">
        <f t="shared" si="219"/>
        <v>12720.157140000001</v>
      </c>
      <c r="DS24" s="47">
        <f t="shared" si="219"/>
        <v>1267.0559099999998</v>
      </c>
      <c r="DT24" s="48">
        <f t="shared" si="219"/>
        <v>21420.099409999999</v>
      </c>
      <c r="DU24" s="45">
        <f t="shared" si="219"/>
        <v>3121.6688600000002</v>
      </c>
      <c r="DV24" s="46">
        <f t="shared" si="219"/>
        <v>28226.57303</v>
      </c>
      <c r="DW24" s="47">
        <f t="shared" si="219"/>
        <v>4414.2171899999994</v>
      </c>
      <c r="DX24" s="48">
        <f t="shared" si="219"/>
        <v>36745.611059999996</v>
      </c>
      <c r="DY24" s="45">
        <f t="shared" si="219"/>
        <v>6379.8083300000008</v>
      </c>
      <c r="DZ24" s="46">
        <f t="shared" si="219"/>
        <v>51843.011780000001</v>
      </c>
      <c r="EA24" s="47">
        <f t="shared" si="219"/>
        <v>8082.1886100000002</v>
      </c>
      <c r="EB24" s="48">
        <f t="shared" si="219"/>
        <v>65356.346109999999</v>
      </c>
      <c r="EC24" s="45">
        <f t="shared" si="219"/>
        <v>9479.4524299999994</v>
      </c>
      <c r="ED24" s="46">
        <f t="shared" si="219"/>
        <v>86598.438910000012</v>
      </c>
      <c r="EE24" s="47">
        <f t="shared" si="219"/>
        <v>10765.306769999999</v>
      </c>
      <c r="EF24" s="46">
        <f t="shared" ref="EF24:EM24" si="220">SUM(EF25:EF33)</f>
        <v>101281.32435000001</v>
      </c>
      <c r="EG24" s="49">
        <f t="shared" si="220"/>
        <v>12406.24303</v>
      </c>
      <c r="EH24" s="46">
        <f t="shared" si="220"/>
        <v>117250.06581</v>
      </c>
      <c r="EI24" s="49">
        <f t="shared" si="220"/>
        <v>14373.112340000001</v>
      </c>
      <c r="EJ24" s="46">
        <f t="shared" si="220"/>
        <v>125638.48787000001</v>
      </c>
      <c r="EK24" s="49">
        <f t="shared" si="220"/>
        <v>17304.667570000001</v>
      </c>
      <c r="EL24" s="46">
        <f t="shared" si="220"/>
        <v>134712.01310000001</v>
      </c>
      <c r="EM24" s="49">
        <f t="shared" si="220"/>
        <v>18885.24309</v>
      </c>
      <c r="EN24" s="46">
        <f t="shared" ref="EN24:EO24" si="221">SUM(EN25:EN33)</f>
        <v>156997.57859999998</v>
      </c>
      <c r="EO24" s="49">
        <f t="shared" si="221"/>
        <v>21886.56323</v>
      </c>
      <c r="EP24" s="46">
        <f t="shared" ref="EP24:EQ24" si="222">SUM(EP25:EP33)</f>
        <v>18011.76801</v>
      </c>
      <c r="EQ24" s="49">
        <f t="shared" si="222"/>
        <v>1477.7156599999998</v>
      </c>
      <c r="ER24" s="46">
        <f t="shared" ref="ER24:ES24" si="223">SUM(ER25:ER33)</f>
        <v>31125.657670000001</v>
      </c>
      <c r="ES24" s="49">
        <f t="shared" si="223"/>
        <v>3608.8092900000001</v>
      </c>
      <c r="ET24" s="46">
        <f t="shared" ref="ET24:EU24" si="224">SUM(ET25:ET33)</f>
        <v>44645.430600000007</v>
      </c>
      <c r="EU24" s="49">
        <f t="shared" si="224"/>
        <v>5837.3170600000003</v>
      </c>
      <c r="EV24" s="46">
        <f t="shared" ref="EV24:EW24" si="225">SUM(EV25:EV33)</f>
        <v>51959.116740000005</v>
      </c>
      <c r="EW24" s="49">
        <f t="shared" si="225"/>
        <v>8009.2009600000001</v>
      </c>
      <c r="EX24" s="46">
        <f t="shared" ref="EX24:EY24" si="226">SUM(EX25:EX33)</f>
        <v>66183.095190000007</v>
      </c>
      <c r="EY24" s="49">
        <f t="shared" si="226"/>
        <v>10231.39141</v>
      </c>
      <c r="EZ24" s="46">
        <f t="shared" ref="EZ24:FA24" si="227">SUM(EZ25:EZ33)</f>
        <v>82929.056130000012</v>
      </c>
      <c r="FA24" s="49">
        <f t="shared" si="227"/>
        <v>12112.881170000001</v>
      </c>
      <c r="FB24" s="46">
        <f t="shared" ref="FB24:FC24" si="228">SUM(FB25:FB33)</f>
        <v>110867.38786</v>
      </c>
      <c r="FC24" s="49">
        <f t="shared" si="228"/>
        <v>13694.619940000002</v>
      </c>
      <c r="FD24" s="46">
        <f t="shared" ref="FD24:FE24" si="229">SUM(FD25:FD33)</f>
        <v>122774.51852999999</v>
      </c>
      <c r="FE24" s="49">
        <f t="shared" si="229"/>
        <v>30571.804559999997</v>
      </c>
      <c r="FF24" s="46">
        <f t="shared" ref="FF24:FG24" si="230">SUM(FF25:FF33)</f>
        <v>135496.80436000001</v>
      </c>
      <c r="FG24" s="49">
        <f t="shared" si="230"/>
        <v>43407.239430000009</v>
      </c>
      <c r="FH24" s="46">
        <f t="shared" ref="FH24:FI24" si="231">SUM(FH25:FH33)</f>
        <v>151816.37080999996</v>
      </c>
      <c r="FI24" s="49">
        <f t="shared" si="231"/>
        <v>48543.21390000001</v>
      </c>
      <c r="FJ24" s="46">
        <f t="shared" ref="FJ24:FK24" si="232">SUM(FJ25:FJ33)</f>
        <v>164551.27359999999</v>
      </c>
      <c r="FK24" s="49">
        <f t="shared" si="232"/>
        <v>52427.584109999996</v>
      </c>
      <c r="FL24" s="46">
        <f t="shared" ref="FL24:FM24" si="233">SUM(FL25:FL33)</f>
        <v>182726.86567999999</v>
      </c>
      <c r="FM24" s="49">
        <f t="shared" si="233"/>
        <v>101191.1551</v>
      </c>
      <c r="FN24" s="46">
        <f t="shared" ref="FN24:FO24" si="234">SUM(FN25:FN33)</f>
        <v>21142.006679999999</v>
      </c>
      <c r="FO24" s="49">
        <f t="shared" si="234"/>
        <v>2715.5302200000001</v>
      </c>
      <c r="FP24" s="46">
        <f t="shared" ref="FP24:FQ24" si="235">SUM(FP25:FP33)</f>
        <v>33650.428969999994</v>
      </c>
      <c r="FQ24" s="49">
        <f t="shared" si="235"/>
        <v>5394.9490399999995</v>
      </c>
      <c r="FR24" s="46">
        <f t="shared" ref="FR24:FS24" si="236">SUM(FR25:FR33)</f>
        <v>43527.020799999998</v>
      </c>
      <c r="FS24" s="49">
        <f t="shared" si="236"/>
        <v>7245.9091500000004</v>
      </c>
      <c r="FT24" s="46">
        <f t="shared" ref="FT24:FU24" si="237">SUM(FT25:FT33)</f>
        <v>55158.521609999996</v>
      </c>
      <c r="FU24" s="49">
        <f t="shared" si="237"/>
        <v>9975.694950000001</v>
      </c>
      <c r="FV24" s="46">
        <f t="shared" ref="FV24:FY24" si="238">SUM(FV25:FV33)</f>
        <v>70645.487830000013</v>
      </c>
      <c r="FW24" s="49">
        <f t="shared" si="238"/>
        <v>13214.705759999999</v>
      </c>
      <c r="FX24" s="46">
        <f t="shared" si="238"/>
        <v>83116.112949999995</v>
      </c>
      <c r="FY24" s="49">
        <f t="shared" si="238"/>
        <v>16109.857970000003</v>
      </c>
      <c r="FZ24" s="46">
        <f t="shared" ref="FZ24:GA24" si="239">SUM(FZ25:FZ33)</f>
        <v>112164.20629</v>
      </c>
      <c r="GA24" s="49">
        <f t="shared" si="239"/>
        <v>18642.375059999998</v>
      </c>
      <c r="GB24" s="46">
        <f t="shared" ref="GB24:GE24" si="240">SUM(GB25:GB33)</f>
        <v>130055.19643</v>
      </c>
      <c r="GC24" s="49">
        <f t="shared" si="240"/>
        <v>20932.258530000003</v>
      </c>
      <c r="GD24" s="46">
        <f t="shared" si="240"/>
        <v>144870.92900999999</v>
      </c>
      <c r="GE24" s="49">
        <f t="shared" si="240"/>
        <v>23455.94642</v>
      </c>
      <c r="GF24" s="46">
        <f t="shared" ref="GF24:GG24" si="241">SUM(GF25:GF33)</f>
        <v>155955.11298000001</v>
      </c>
      <c r="GG24" s="49">
        <f t="shared" si="241"/>
        <v>26758.782350000001</v>
      </c>
      <c r="GH24" s="46">
        <f t="shared" ref="GH24:GI24" si="242">SUM(GH25:GH33)</f>
        <v>177043.84543999998</v>
      </c>
      <c r="GI24" s="49">
        <f t="shared" si="242"/>
        <v>32574.149099999995</v>
      </c>
      <c r="GJ24" s="46">
        <f t="shared" ref="GJ24:GK24" si="243">SUM(GJ25:GJ33)</f>
        <v>204698.39569</v>
      </c>
      <c r="GK24" s="49">
        <f t="shared" si="243"/>
        <v>37542.687669999992</v>
      </c>
      <c r="GL24" s="46">
        <f t="shared" ref="GL24:GQ24" si="244">SUM(GL25:GL33)</f>
        <v>22457.63263</v>
      </c>
      <c r="GM24" s="49">
        <f t="shared" si="244"/>
        <v>3403.9076</v>
      </c>
      <c r="GN24" s="46">
        <f t="shared" si="244"/>
        <v>33068.5671</v>
      </c>
      <c r="GO24" s="49">
        <f t="shared" si="244"/>
        <v>5993.6199399999996</v>
      </c>
      <c r="GP24" s="46">
        <f t="shared" si="244"/>
        <v>42885.394209999991</v>
      </c>
      <c r="GQ24" s="49">
        <f t="shared" si="244"/>
        <v>8461.8258000000005</v>
      </c>
      <c r="GR24" s="46">
        <f t="shared" ref="GR24:GS24" si="245">SUM(GR25:GR33)</f>
        <v>58824.494919999997</v>
      </c>
      <c r="GS24" s="49">
        <f t="shared" si="245"/>
        <v>13321.47579</v>
      </c>
      <c r="GT24" s="46">
        <f t="shared" ref="GT24:GU24" si="246">SUM(GT25:GT33)</f>
        <v>75997.466390000001</v>
      </c>
      <c r="GU24" s="49">
        <f t="shared" si="246"/>
        <v>17477.724620000001</v>
      </c>
      <c r="GV24" s="46">
        <f t="shared" ref="GV24:GW24" si="247">SUM(GV25:GV33)</f>
        <v>91130.261339999997</v>
      </c>
      <c r="GW24" s="49">
        <f t="shared" si="247"/>
        <v>20152.920969999999</v>
      </c>
      <c r="GX24" s="46">
        <f t="shared" ref="GX24:GY24" si="248">SUM(GX25:GX33)</f>
        <v>122796.72810000001</v>
      </c>
      <c r="GY24" s="49">
        <f t="shared" si="248"/>
        <v>24458.200420000001</v>
      </c>
      <c r="GZ24" s="46">
        <f t="shared" ref="GZ24:HA24" si="249">SUM(GZ25:GZ33)</f>
        <v>137758.39990000002</v>
      </c>
      <c r="HA24" s="49">
        <f t="shared" si="249"/>
        <v>27476.225520000004</v>
      </c>
      <c r="HB24" s="46">
        <f t="shared" ref="HB24:HC24" si="250">SUM(HB25:HB33)</f>
        <v>155877.25226999997</v>
      </c>
      <c r="HC24" s="49">
        <f t="shared" si="250"/>
        <v>31177.109970000001</v>
      </c>
      <c r="HD24" s="46">
        <f t="shared" ref="HD24:HE24" si="251">SUM(HD25:HD33)</f>
        <v>168068.28180000003</v>
      </c>
      <c r="HE24" s="49">
        <f t="shared" si="251"/>
        <v>34778.735549999998</v>
      </c>
      <c r="HF24" s="46">
        <f t="shared" ref="HF24:HG24" si="252">SUM(HF25:HF33)</f>
        <v>186318.02481</v>
      </c>
      <c r="HG24" s="49">
        <f t="shared" si="252"/>
        <v>40414.422919999997</v>
      </c>
      <c r="HH24" s="46">
        <f t="shared" ref="HH24:HI24" si="253">SUM(HH25:HH33)</f>
        <v>206976.89234000002</v>
      </c>
      <c r="HI24" s="49">
        <f t="shared" si="253"/>
        <v>46302.285130000004</v>
      </c>
      <c r="HJ24" s="46">
        <f t="shared" ref="HJ24:HK24" si="254">SUM(HJ25:HJ33)</f>
        <v>22772.179320000003</v>
      </c>
      <c r="HK24" s="49">
        <f t="shared" si="254"/>
        <v>2633.2759900000001</v>
      </c>
      <c r="HL24" s="46">
        <f t="shared" ref="HL24:HM24" si="255">SUM(HL25:HL33)</f>
        <v>41953.910990000004</v>
      </c>
      <c r="HM24" s="49">
        <f t="shared" si="255"/>
        <v>6723.4205900000006</v>
      </c>
      <c r="HN24" s="46">
        <f t="shared" ref="HN24:HO24" si="256">SUM(HN25:HN33)</f>
        <v>56577.331260000006</v>
      </c>
      <c r="HO24" s="49">
        <f t="shared" si="256"/>
        <v>9533.5991799999993</v>
      </c>
      <c r="HP24" s="46">
        <f t="shared" ref="HP24:HQ24" si="257">SUM(HP25:HP33)</f>
        <v>74735.412270000001</v>
      </c>
      <c r="HQ24" s="49">
        <f t="shared" si="257"/>
        <v>14327.844389999997</v>
      </c>
      <c r="HR24" s="46">
        <f t="shared" ref="HR24:HS24" si="258">SUM(HR25:HR33)</f>
        <v>89390.89417</v>
      </c>
      <c r="HS24" s="49">
        <f t="shared" si="258"/>
        <v>18408.062499999996</v>
      </c>
      <c r="HT24" s="46">
        <f t="shared" ref="HT24:HU24" si="259">SUM(HT25:HT33)</f>
        <v>120366.56041000002</v>
      </c>
      <c r="HU24" s="49">
        <f t="shared" si="259"/>
        <v>22580.311659999999</v>
      </c>
      <c r="HV24" s="46">
        <f t="shared" ref="HV24:HW24" si="260">SUM(HV25:HV33)</f>
        <v>156130.62610999998</v>
      </c>
      <c r="HW24" s="49">
        <f t="shared" si="260"/>
        <v>27320.295630000001</v>
      </c>
      <c r="HX24" s="46">
        <f t="shared" ref="HX24:HY24" si="261">SUM(HX25:HX33)</f>
        <v>170502.35772</v>
      </c>
      <c r="HY24" s="49">
        <f t="shared" si="261"/>
        <v>31965.439779999997</v>
      </c>
      <c r="HZ24" s="46">
        <f t="shared" ref="HZ24:IA24" si="262">SUM(HZ25:HZ33)</f>
        <v>190797.14902000004</v>
      </c>
      <c r="IA24" s="49">
        <f t="shared" si="262"/>
        <v>36943.203870000005</v>
      </c>
      <c r="IB24" s="14" t="s">
        <v>53</v>
      </c>
      <c r="ID24" s="84"/>
    </row>
    <row r="25" spans="1:238" s="9" customFormat="1" ht="22.5" customHeight="1" x14ac:dyDescent="0.4">
      <c r="A25" s="15" t="s">
        <v>54</v>
      </c>
      <c r="B25" s="50">
        <v>4720.3086299999995</v>
      </c>
      <c r="C25" s="50">
        <v>0</v>
      </c>
      <c r="D25" s="50">
        <v>4860.3086299999995</v>
      </c>
      <c r="E25" s="50">
        <v>0</v>
      </c>
      <c r="F25" s="50">
        <v>4720.3086299999995</v>
      </c>
      <c r="G25" s="50">
        <v>0</v>
      </c>
      <c r="H25" s="50">
        <v>5379.7733499999995</v>
      </c>
      <c r="I25" s="50">
        <v>0</v>
      </c>
      <c r="J25" s="50">
        <v>5380.7863600000001</v>
      </c>
      <c r="K25" s="50">
        <v>15.593999999999999</v>
      </c>
      <c r="L25" s="50">
        <v>5056.3874999999998</v>
      </c>
      <c r="M25" s="50">
        <v>0</v>
      </c>
      <c r="N25" s="50">
        <v>10089.64767</v>
      </c>
      <c r="O25" s="50">
        <v>15.593999999999999</v>
      </c>
      <c r="P25" s="50">
        <v>10069.44291</v>
      </c>
      <c r="Q25" s="50">
        <v>15.593999999999999</v>
      </c>
      <c r="R25" s="50">
        <v>10369.00153</v>
      </c>
      <c r="S25" s="50">
        <v>15.593999999999999</v>
      </c>
      <c r="T25" s="50">
        <v>10487.315130000001</v>
      </c>
      <c r="U25" s="50">
        <v>0</v>
      </c>
      <c r="V25" s="50">
        <v>10535.724779999999</v>
      </c>
      <c r="W25" s="50">
        <v>0</v>
      </c>
      <c r="X25" s="50">
        <v>10561.901199999998</v>
      </c>
      <c r="Y25" s="50">
        <v>0</v>
      </c>
      <c r="Z25" s="50">
        <v>4253.1487800000004</v>
      </c>
      <c r="AA25" s="50">
        <v>0</v>
      </c>
      <c r="AB25" s="50">
        <v>4331.05746</v>
      </c>
      <c r="AC25" s="50">
        <v>0</v>
      </c>
      <c r="AD25" s="50">
        <v>4400.4952999999996</v>
      </c>
      <c r="AE25" s="50">
        <v>0</v>
      </c>
      <c r="AF25" s="50">
        <v>5115.2739299999994</v>
      </c>
      <c r="AG25" s="50">
        <v>0</v>
      </c>
      <c r="AH25" s="50">
        <v>5280.1044900000006</v>
      </c>
      <c r="AI25" s="50">
        <v>0</v>
      </c>
      <c r="AJ25" s="50">
        <v>5288.8562599999996</v>
      </c>
      <c r="AK25" s="50">
        <v>246.5</v>
      </c>
      <c r="AL25" s="50">
        <v>9841.4102400000011</v>
      </c>
      <c r="AM25" s="50">
        <v>246.5</v>
      </c>
      <c r="AN25" s="50">
        <v>9880.8426400000008</v>
      </c>
      <c r="AO25" s="50">
        <v>246.5</v>
      </c>
      <c r="AP25" s="50">
        <v>10029.762560000001</v>
      </c>
      <c r="AQ25" s="50">
        <v>246.5</v>
      </c>
      <c r="AR25" s="50">
        <v>10083.377409999999</v>
      </c>
      <c r="AS25" s="50">
        <v>246.5</v>
      </c>
      <c r="AT25" s="50">
        <v>10185.74418</v>
      </c>
      <c r="AU25" s="50">
        <v>246.5</v>
      </c>
      <c r="AV25" s="50">
        <v>10334.85556</v>
      </c>
      <c r="AW25" s="50">
        <v>873.20961999999997</v>
      </c>
      <c r="AX25" s="50">
        <v>4369.7519400000001</v>
      </c>
      <c r="AY25" s="50">
        <v>20.105779999999999</v>
      </c>
      <c r="AZ25" s="50">
        <v>4972.1195299999999</v>
      </c>
      <c r="BA25" s="50">
        <v>20.105779999999999</v>
      </c>
      <c r="BB25" s="50">
        <v>5173.7987000000003</v>
      </c>
      <c r="BC25" s="50">
        <v>21.184740000000001</v>
      </c>
      <c r="BD25" s="50">
        <v>5184.6213399999997</v>
      </c>
      <c r="BE25" s="50">
        <v>21.184740000000001</v>
      </c>
      <c r="BF25" s="50">
        <v>5184.6213399999997</v>
      </c>
      <c r="BG25" s="50">
        <v>4521.1847400000006</v>
      </c>
      <c r="BH25" s="50">
        <v>5439.8606500000005</v>
      </c>
      <c r="BI25" s="50">
        <v>5026.6389300000001</v>
      </c>
      <c r="BJ25" s="50">
        <v>10546.62148</v>
      </c>
      <c r="BK25" s="50">
        <v>5695.2975800000004</v>
      </c>
      <c r="BL25" s="50">
        <v>10571.84424</v>
      </c>
      <c r="BM25" s="50">
        <v>5695.2975800000004</v>
      </c>
      <c r="BN25" s="50">
        <v>10603.503650000001</v>
      </c>
      <c r="BO25" s="50">
        <v>5695.2975900000001</v>
      </c>
      <c r="BP25" s="50">
        <v>10616.96508</v>
      </c>
      <c r="BQ25" s="50">
        <v>5695.2975800000004</v>
      </c>
      <c r="BR25" s="50">
        <v>10616.96508</v>
      </c>
      <c r="BS25" s="50">
        <v>5695.2975900000001</v>
      </c>
      <c r="BT25" s="50">
        <v>10637.270759999999</v>
      </c>
      <c r="BU25" s="50">
        <v>19227.297579999999</v>
      </c>
      <c r="BV25" s="50">
        <v>4883.7342500000004</v>
      </c>
      <c r="BW25" s="50">
        <v>0</v>
      </c>
      <c r="BX25" s="50">
        <v>5475.1074400000007</v>
      </c>
      <c r="BY25" s="50">
        <v>412.54192</v>
      </c>
      <c r="BZ25" s="50">
        <v>5637.3720599999997</v>
      </c>
      <c r="CA25" s="50">
        <v>330.16346000000004</v>
      </c>
      <c r="CB25" s="50">
        <v>5637.3720599999997</v>
      </c>
      <c r="CC25" s="50">
        <v>1647.15346</v>
      </c>
      <c r="CD25" s="50">
        <v>5637.3720599999997</v>
      </c>
      <c r="CE25" s="50">
        <v>1647.15346</v>
      </c>
      <c r="CF25" s="50">
        <v>5644.7466399999994</v>
      </c>
      <c r="CG25" s="50">
        <v>1647.15346</v>
      </c>
      <c r="CH25" s="50">
        <v>9347.7946300000003</v>
      </c>
      <c r="CI25" s="50">
        <v>1647.15346</v>
      </c>
      <c r="CJ25" s="50">
        <v>15788.293900000001</v>
      </c>
      <c r="CK25" s="50">
        <v>1647.15346</v>
      </c>
      <c r="CL25" s="50">
        <v>15788.29191</v>
      </c>
      <c r="CM25" s="50">
        <v>1647.15346</v>
      </c>
      <c r="CN25" s="50">
        <v>15703.334720000001</v>
      </c>
      <c r="CO25" s="50">
        <v>1647.15346</v>
      </c>
      <c r="CP25" s="50">
        <v>15753.563890000001</v>
      </c>
      <c r="CQ25" s="50">
        <v>2061.1034599999998</v>
      </c>
      <c r="CR25" s="50">
        <v>15753.563890000001</v>
      </c>
      <c r="CS25" s="50">
        <v>2061.1034599999998</v>
      </c>
      <c r="CT25" s="50">
        <v>3456.9119799999999</v>
      </c>
      <c r="CU25" s="50">
        <v>0</v>
      </c>
      <c r="CV25" s="50">
        <v>3456.9119799999999</v>
      </c>
      <c r="CW25" s="50">
        <v>98.6</v>
      </c>
      <c r="CX25" s="50">
        <v>4140.8688099999999</v>
      </c>
      <c r="CY25" s="50">
        <v>98.6</v>
      </c>
      <c r="CZ25" s="50">
        <v>4140.8688099999999</v>
      </c>
      <c r="DA25" s="50">
        <v>98.6</v>
      </c>
      <c r="DB25" s="50">
        <v>4140.8688099999999</v>
      </c>
      <c r="DC25" s="50">
        <v>98.6</v>
      </c>
      <c r="DD25" s="50">
        <v>4140.8688099999999</v>
      </c>
      <c r="DE25" s="50">
        <v>1126.5242700000001</v>
      </c>
      <c r="DF25" s="50">
        <v>14348.888070000001</v>
      </c>
      <c r="DG25" s="50">
        <v>1143.5242700000001</v>
      </c>
      <c r="DH25" s="50">
        <v>14348.888630000001</v>
      </c>
      <c r="DI25" s="50">
        <v>1143.5242700000001</v>
      </c>
      <c r="DJ25" s="50">
        <v>15916.83669</v>
      </c>
      <c r="DK25" s="50">
        <v>1143.5242700000001</v>
      </c>
      <c r="DL25" s="50">
        <v>15916.83669</v>
      </c>
      <c r="DM25" s="50">
        <v>1143.5242699999999</v>
      </c>
      <c r="DN25" s="50">
        <v>15916.83669</v>
      </c>
      <c r="DO25" s="50">
        <v>1143.5242699999999</v>
      </c>
      <c r="DP25" s="50">
        <v>15916.83669</v>
      </c>
      <c r="DQ25" s="51">
        <v>2329.8809200000001</v>
      </c>
      <c r="DR25" s="52">
        <v>2710.6490800000001</v>
      </c>
      <c r="DS25" s="53">
        <v>0</v>
      </c>
      <c r="DT25" s="54">
        <v>2710.6494899999998</v>
      </c>
      <c r="DU25" s="51">
        <v>0</v>
      </c>
      <c r="DV25" s="52">
        <v>2710.6494899999998</v>
      </c>
      <c r="DW25" s="53">
        <v>0</v>
      </c>
      <c r="DX25" s="54">
        <v>2710.6494899999998</v>
      </c>
      <c r="DY25" s="51">
        <v>0</v>
      </c>
      <c r="DZ25" s="52">
        <v>2710.6494899999998</v>
      </c>
      <c r="EA25" s="53">
        <v>0</v>
      </c>
      <c r="EB25" s="54">
        <v>7109.8117499999998</v>
      </c>
      <c r="EC25" s="51">
        <v>0</v>
      </c>
      <c r="ED25" s="52">
        <v>18878.266490000002</v>
      </c>
      <c r="EE25" s="53">
        <v>40.799999999999997</v>
      </c>
      <c r="EF25" s="52">
        <v>21263.646909999999</v>
      </c>
      <c r="EG25" s="53">
        <v>40.799999999999997</v>
      </c>
      <c r="EH25" s="54">
        <v>21263.646909999999</v>
      </c>
      <c r="EI25" s="53">
        <v>40.799999999999997</v>
      </c>
      <c r="EJ25" s="54">
        <v>21275.907800000001</v>
      </c>
      <c r="EK25" s="53">
        <v>57.8</v>
      </c>
      <c r="EL25" s="52">
        <v>21305.202550000002</v>
      </c>
      <c r="EM25" s="55">
        <v>57.8</v>
      </c>
      <c r="EN25" s="52">
        <v>21527.34779</v>
      </c>
      <c r="EO25" s="55">
        <v>74.8</v>
      </c>
      <c r="EP25" s="52">
        <v>96.162490000000005</v>
      </c>
      <c r="EQ25" s="55">
        <v>0</v>
      </c>
      <c r="ER25" s="52">
        <v>96.162490000000005</v>
      </c>
      <c r="ES25" s="55">
        <v>0</v>
      </c>
      <c r="ET25" s="52">
        <v>96.162490000000005</v>
      </c>
      <c r="EU25" s="55">
        <v>0</v>
      </c>
      <c r="EV25" s="52">
        <v>100.77070999999999</v>
      </c>
      <c r="EW25" s="55">
        <v>0</v>
      </c>
      <c r="EX25" s="52">
        <v>1970.77071</v>
      </c>
      <c r="EY25" s="55">
        <v>0</v>
      </c>
      <c r="EZ25" s="52">
        <v>1970.77071</v>
      </c>
      <c r="FA25" s="55">
        <v>0</v>
      </c>
      <c r="FB25" s="52">
        <v>19866.0465</v>
      </c>
      <c r="FC25" s="55">
        <v>0</v>
      </c>
      <c r="FD25" s="52">
        <v>19256.739300000001</v>
      </c>
      <c r="FE25" s="55">
        <v>0</v>
      </c>
      <c r="FF25" s="52">
        <v>19267.353300000002</v>
      </c>
      <c r="FG25" s="55">
        <v>17</v>
      </c>
      <c r="FH25" s="52">
        <v>19267.353299999999</v>
      </c>
      <c r="FI25" s="55">
        <v>17</v>
      </c>
      <c r="FJ25" s="52">
        <v>20020.886890000002</v>
      </c>
      <c r="FK25" s="55">
        <v>448.32751999999999</v>
      </c>
      <c r="FL25" s="52">
        <v>22169.913929999999</v>
      </c>
      <c r="FM25" s="55">
        <v>448.32751999999999</v>
      </c>
      <c r="FN25" s="52">
        <v>1413.22488</v>
      </c>
      <c r="FO25" s="55">
        <v>28.27027</v>
      </c>
      <c r="FP25" s="52">
        <v>2416.3747000000003</v>
      </c>
      <c r="FQ25" s="55">
        <v>28.27027</v>
      </c>
      <c r="FR25" s="52">
        <v>2432.4846600000001</v>
      </c>
      <c r="FS25" s="55">
        <v>28.27027</v>
      </c>
      <c r="FT25" s="52">
        <v>3622.0216999999998</v>
      </c>
      <c r="FU25" s="55">
        <v>49.71302</v>
      </c>
      <c r="FV25" s="52">
        <v>5612.9353000000001</v>
      </c>
      <c r="FW25" s="55">
        <v>49.734250000000003</v>
      </c>
      <c r="FX25" s="52">
        <v>5692.1147499999997</v>
      </c>
      <c r="FY25" s="55">
        <v>793.07318999999995</v>
      </c>
      <c r="FZ25" s="52">
        <v>21754.686689999999</v>
      </c>
      <c r="GA25" s="55">
        <v>793.07318999999995</v>
      </c>
      <c r="GB25" s="52">
        <v>21754.686689999999</v>
      </c>
      <c r="GC25" s="55">
        <v>793.07318999999995</v>
      </c>
      <c r="GD25" s="52">
        <v>21763.511210000001</v>
      </c>
      <c r="GE25" s="55">
        <v>793.07318999999995</v>
      </c>
      <c r="GF25" s="52">
        <v>21763.511210000001</v>
      </c>
      <c r="GG25" s="55">
        <v>793.07318999999995</v>
      </c>
      <c r="GH25" s="52">
        <v>21763.511210000001</v>
      </c>
      <c r="GI25" s="55">
        <v>793.07318999999995</v>
      </c>
      <c r="GJ25" s="52">
        <v>21823.20246</v>
      </c>
      <c r="GK25" s="55">
        <v>793.07320000000004</v>
      </c>
      <c r="GL25" s="52">
        <v>0</v>
      </c>
      <c r="GM25" s="55">
        <v>0</v>
      </c>
      <c r="GN25" s="52">
        <v>0</v>
      </c>
      <c r="GO25" s="55">
        <v>0</v>
      </c>
      <c r="GP25" s="52">
        <v>0</v>
      </c>
      <c r="GQ25" s="55">
        <v>0</v>
      </c>
      <c r="GR25" s="52">
        <v>0</v>
      </c>
      <c r="GS25" s="55">
        <v>0</v>
      </c>
      <c r="GT25" s="52">
        <v>1651.7336</v>
      </c>
      <c r="GU25" s="55">
        <v>0</v>
      </c>
      <c r="GV25" s="52">
        <v>1651.7336</v>
      </c>
      <c r="GW25" s="55">
        <v>0</v>
      </c>
      <c r="GX25" s="52">
        <v>13621.841839999999</v>
      </c>
      <c r="GY25" s="55">
        <v>0</v>
      </c>
      <c r="GZ25" s="52">
        <v>14159.24308</v>
      </c>
      <c r="HA25" s="55">
        <v>0</v>
      </c>
      <c r="HB25" s="52">
        <v>14175.02002</v>
      </c>
      <c r="HC25" s="55">
        <v>0</v>
      </c>
      <c r="HD25" s="52">
        <v>14175.02002</v>
      </c>
      <c r="HE25" s="55">
        <v>0</v>
      </c>
      <c r="HF25" s="52">
        <v>14856.599319999999</v>
      </c>
      <c r="HG25" s="55">
        <v>0</v>
      </c>
      <c r="HH25" s="52">
        <v>15298.22126</v>
      </c>
      <c r="HI25" s="55">
        <v>0</v>
      </c>
      <c r="HJ25" s="52">
        <v>0.26722000000000001</v>
      </c>
      <c r="HK25" s="55">
        <v>0</v>
      </c>
      <c r="HL25" s="52">
        <v>0.29526999999999998</v>
      </c>
      <c r="HM25" s="55">
        <v>322.80795000000001</v>
      </c>
      <c r="HN25" s="52">
        <v>58.27825</v>
      </c>
      <c r="HO25" s="55">
        <v>322.80795000000001</v>
      </c>
      <c r="HP25" s="52">
        <v>115.40037</v>
      </c>
      <c r="HQ25" s="55">
        <v>322.80795000000001</v>
      </c>
      <c r="HR25" s="52">
        <v>887.09997999999996</v>
      </c>
      <c r="HS25" s="55">
        <v>322.80795000000001</v>
      </c>
      <c r="HT25" s="52">
        <v>907.67337999999995</v>
      </c>
      <c r="HU25" s="55">
        <v>322.80795000000001</v>
      </c>
      <c r="HV25" s="52">
        <v>18637.811000000002</v>
      </c>
      <c r="HW25" s="55">
        <v>586.64795000000004</v>
      </c>
      <c r="HX25" s="52">
        <v>18696.71487</v>
      </c>
      <c r="HY25" s="55">
        <v>586.64795000000004</v>
      </c>
      <c r="HZ25" s="52">
        <v>18704.553810000001</v>
      </c>
      <c r="IA25" s="55">
        <v>586.64795000000004</v>
      </c>
      <c r="IB25" s="16" t="s">
        <v>55</v>
      </c>
    </row>
    <row r="26" spans="1:238" s="9" customFormat="1" ht="22.5" customHeight="1" x14ac:dyDescent="0.4">
      <c r="A26" s="15" t="s">
        <v>56</v>
      </c>
      <c r="B26" s="50">
        <v>2854.4523199999999</v>
      </c>
      <c r="C26" s="50">
        <v>368.20645999999999</v>
      </c>
      <c r="D26" s="50">
        <v>5070.6043399999999</v>
      </c>
      <c r="E26" s="50">
        <v>546.20497</v>
      </c>
      <c r="F26" s="50">
        <v>7169.9546300000002</v>
      </c>
      <c r="G26" s="50">
        <v>644.6536000000001</v>
      </c>
      <c r="H26" s="50">
        <v>8748.302740000001</v>
      </c>
      <c r="I26" s="50">
        <v>737.04581999999994</v>
      </c>
      <c r="J26" s="50">
        <v>12527.536189999999</v>
      </c>
      <c r="K26" s="50">
        <v>1078.29718</v>
      </c>
      <c r="L26" s="50">
        <v>15965.44533</v>
      </c>
      <c r="M26" s="50">
        <v>1457.55834</v>
      </c>
      <c r="N26" s="50">
        <v>19018.723959999999</v>
      </c>
      <c r="O26" s="50">
        <v>1520.4034299999998</v>
      </c>
      <c r="P26" s="50">
        <v>21824.591680000001</v>
      </c>
      <c r="Q26" s="50">
        <v>1864.7352700000001</v>
      </c>
      <c r="R26" s="50">
        <v>29426.052070000002</v>
      </c>
      <c r="S26" s="50">
        <v>1956.1366399999999</v>
      </c>
      <c r="T26" s="50">
        <v>31710.83769</v>
      </c>
      <c r="U26" s="50">
        <v>2049.9261299999998</v>
      </c>
      <c r="V26" s="50">
        <v>35218.879350000003</v>
      </c>
      <c r="W26" s="50">
        <v>2151.4666899999997</v>
      </c>
      <c r="X26" s="50">
        <v>37813.447919999999</v>
      </c>
      <c r="Y26" s="50">
        <v>2214.3898499999996</v>
      </c>
      <c r="Z26" s="50">
        <v>3465.7083899999998</v>
      </c>
      <c r="AA26" s="50">
        <v>36.875449999999994</v>
      </c>
      <c r="AB26" s="50">
        <v>8720.9691000000003</v>
      </c>
      <c r="AC26" s="50">
        <v>111.62860999999999</v>
      </c>
      <c r="AD26" s="50">
        <v>22863.153870000002</v>
      </c>
      <c r="AE26" s="50">
        <v>135.18967000000001</v>
      </c>
      <c r="AF26" s="50">
        <v>25506.073329999999</v>
      </c>
      <c r="AG26" s="50">
        <v>410.17484000000002</v>
      </c>
      <c r="AH26" s="50">
        <v>27793.636690000003</v>
      </c>
      <c r="AI26" s="50">
        <v>443.16640000000001</v>
      </c>
      <c r="AJ26" s="50">
        <v>31887.73703</v>
      </c>
      <c r="AK26" s="50">
        <v>476.76499000000001</v>
      </c>
      <c r="AL26" s="50">
        <v>34456.407490000005</v>
      </c>
      <c r="AM26" s="50">
        <v>771.71976000000006</v>
      </c>
      <c r="AN26" s="50">
        <v>39447.605439999999</v>
      </c>
      <c r="AO26" s="50">
        <v>816.18037000000004</v>
      </c>
      <c r="AP26" s="50">
        <v>48293.257230000003</v>
      </c>
      <c r="AQ26" s="50">
        <v>1775.713</v>
      </c>
      <c r="AR26" s="50">
        <v>50823.553659999998</v>
      </c>
      <c r="AS26" s="50">
        <v>2043.6151</v>
      </c>
      <c r="AT26" s="50">
        <v>53670.77289</v>
      </c>
      <c r="AU26" s="50">
        <v>2673.9180000000001</v>
      </c>
      <c r="AV26" s="50">
        <v>59373.386460000002</v>
      </c>
      <c r="AW26" s="50">
        <v>3074.25711</v>
      </c>
      <c r="AX26" s="50">
        <v>3170.0090699999996</v>
      </c>
      <c r="AY26" s="50">
        <v>326.49990000000003</v>
      </c>
      <c r="AZ26" s="50">
        <v>7042.4854699999996</v>
      </c>
      <c r="BA26" s="50">
        <v>622.07792000000006</v>
      </c>
      <c r="BB26" s="50">
        <v>10250.33474</v>
      </c>
      <c r="BC26" s="50">
        <v>734.2319399999999</v>
      </c>
      <c r="BD26" s="50">
        <v>12967.758159999999</v>
      </c>
      <c r="BE26" s="50">
        <v>848.68651999999997</v>
      </c>
      <c r="BF26" s="50">
        <v>18086.584019999998</v>
      </c>
      <c r="BG26" s="50">
        <v>1096.6253300000001</v>
      </c>
      <c r="BH26" s="50">
        <v>21054.802769999998</v>
      </c>
      <c r="BI26" s="50">
        <v>1238.90327</v>
      </c>
      <c r="BJ26" s="50">
        <v>25559.760920000001</v>
      </c>
      <c r="BK26" s="50">
        <v>1362.91516</v>
      </c>
      <c r="BL26" s="50">
        <v>27634.398670000002</v>
      </c>
      <c r="BM26" s="50">
        <v>1455.13958</v>
      </c>
      <c r="BN26" s="50">
        <v>37872.909849999996</v>
      </c>
      <c r="BO26" s="50">
        <v>1686.85653</v>
      </c>
      <c r="BP26" s="50">
        <v>42035.654270000006</v>
      </c>
      <c r="BQ26" s="50">
        <v>1832.1260400000001</v>
      </c>
      <c r="BR26" s="50">
        <v>45924.370759999998</v>
      </c>
      <c r="BS26" s="50">
        <v>1863.97219</v>
      </c>
      <c r="BT26" s="50">
        <v>51069.017890000003</v>
      </c>
      <c r="BU26" s="50">
        <v>2171.6981600000004</v>
      </c>
      <c r="BV26" s="50">
        <v>3915.71272</v>
      </c>
      <c r="BW26" s="50">
        <v>330.82452000000001</v>
      </c>
      <c r="BX26" s="50">
        <v>6338.5014199999996</v>
      </c>
      <c r="BY26" s="50">
        <v>384.6223</v>
      </c>
      <c r="BZ26" s="50">
        <v>9556.6000999999997</v>
      </c>
      <c r="CA26" s="50">
        <v>869.27751999999998</v>
      </c>
      <c r="CB26" s="50">
        <v>12184.052119999998</v>
      </c>
      <c r="CC26" s="50">
        <v>948.43584999999996</v>
      </c>
      <c r="CD26" s="50">
        <v>15540.400750000001</v>
      </c>
      <c r="CE26" s="50">
        <v>1081.1816799999999</v>
      </c>
      <c r="CF26" s="50">
        <v>19703.52463</v>
      </c>
      <c r="CG26" s="50">
        <v>1150.19129</v>
      </c>
      <c r="CH26" s="50">
        <v>30328.256069999999</v>
      </c>
      <c r="CI26" s="50">
        <v>1326.66623</v>
      </c>
      <c r="CJ26" s="50">
        <v>36870.333740000002</v>
      </c>
      <c r="CK26" s="50">
        <v>1806.5528200000001</v>
      </c>
      <c r="CL26" s="50">
        <v>43799.565539999996</v>
      </c>
      <c r="CM26" s="50">
        <v>12965.52025</v>
      </c>
      <c r="CN26" s="50">
        <v>47443.285899999995</v>
      </c>
      <c r="CO26" s="50">
        <v>13101.2215</v>
      </c>
      <c r="CP26" s="50">
        <v>49939.987529999999</v>
      </c>
      <c r="CQ26" s="50">
        <v>13357.93687</v>
      </c>
      <c r="CR26" s="50">
        <v>56281.659610000002</v>
      </c>
      <c r="CS26" s="50">
        <v>13383.299130000001</v>
      </c>
      <c r="CT26" s="50">
        <v>4313.9287599999998</v>
      </c>
      <c r="CU26" s="50">
        <v>268.01778000000002</v>
      </c>
      <c r="CV26" s="50">
        <v>6796.5787499999997</v>
      </c>
      <c r="CW26" s="50">
        <v>448.69675999999998</v>
      </c>
      <c r="CX26" s="50">
        <v>12773.14553</v>
      </c>
      <c r="CY26" s="50">
        <v>423.46731</v>
      </c>
      <c r="CZ26" s="50">
        <v>15854.969800000001</v>
      </c>
      <c r="DA26" s="50">
        <v>2677.4093900000003</v>
      </c>
      <c r="DB26" s="50">
        <v>20403.13336</v>
      </c>
      <c r="DC26" s="50">
        <v>2789.1127999999999</v>
      </c>
      <c r="DD26" s="50">
        <v>29387.88121</v>
      </c>
      <c r="DE26" s="50">
        <v>2890.7373399999997</v>
      </c>
      <c r="DF26" s="50">
        <v>31488.856609999999</v>
      </c>
      <c r="DG26" s="50">
        <v>2989.29061</v>
      </c>
      <c r="DH26" s="50">
        <v>33557.40582</v>
      </c>
      <c r="DI26" s="50">
        <v>3108.7934799999998</v>
      </c>
      <c r="DJ26" s="50">
        <v>41879.864560000002</v>
      </c>
      <c r="DK26" s="50">
        <v>3410.7299600000001</v>
      </c>
      <c r="DL26" s="50">
        <v>47068.617160000002</v>
      </c>
      <c r="DM26" s="50">
        <v>3705.9066800000001</v>
      </c>
      <c r="DN26" s="50">
        <v>48953.995029999998</v>
      </c>
      <c r="DO26" s="50">
        <v>4060.8981699999999</v>
      </c>
      <c r="DP26" s="50">
        <v>55792.715989999997</v>
      </c>
      <c r="DQ26" s="51">
        <v>4412.99611</v>
      </c>
      <c r="DR26" s="52">
        <v>3406.4238</v>
      </c>
      <c r="DS26" s="53">
        <v>92.871780000000001</v>
      </c>
      <c r="DT26" s="54">
        <v>6587.6168100000004</v>
      </c>
      <c r="DU26" s="51">
        <v>410.13549</v>
      </c>
      <c r="DV26" s="52">
        <v>9824.0387499999997</v>
      </c>
      <c r="DW26" s="53">
        <v>508.38362000000001</v>
      </c>
      <c r="DX26" s="54">
        <v>13294.510389999999</v>
      </c>
      <c r="DY26" s="51">
        <v>541.73753999999997</v>
      </c>
      <c r="DZ26" s="52">
        <v>23607.472730000001</v>
      </c>
      <c r="EA26" s="53">
        <v>768.20460000000003</v>
      </c>
      <c r="EB26" s="54">
        <v>27913.508460000001</v>
      </c>
      <c r="EC26" s="51">
        <v>808.20567000000005</v>
      </c>
      <c r="ED26" s="52">
        <v>32289.330969999999</v>
      </c>
      <c r="EE26" s="53">
        <v>889.45938999999998</v>
      </c>
      <c r="EF26" s="52">
        <v>37947.428160000003</v>
      </c>
      <c r="EG26" s="53">
        <v>1112.4813200000001</v>
      </c>
      <c r="EH26" s="54">
        <v>47295.331639999997</v>
      </c>
      <c r="EI26" s="53">
        <v>1182.9741799999999</v>
      </c>
      <c r="EJ26" s="54">
        <v>51131.116479999997</v>
      </c>
      <c r="EK26" s="53">
        <v>1263.63519</v>
      </c>
      <c r="EL26" s="52">
        <v>54748.369449999998</v>
      </c>
      <c r="EM26" s="55">
        <v>1352.45856</v>
      </c>
      <c r="EN26" s="52">
        <v>66350.701499999996</v>
      </c>
      <c r="EO26" s="55">
        <v>1428.4406899999999</v>
      </c>
      <c r="EP26" s="52">
        <v>4733.7252400000007</v>
      </c>
      <c r="EQ26" s="55">
        <v>69.275240000000011</v>
      </c>
      <c r="ER26" s="52">
        <v>12134.438390000001</v>
      </c>
      <c r="ES26" s="55">
        <v>170.65404999999998</v>
      </c>
      <c r="ET26" s="52">
        <v>21327.604520000001</v>
      </c>
      <c r="EU26" s="55">
        <v>274.67198000000002</v>
      </c>
      <c r="EV26" s="52">
        <v>23341.019199999999</v>
      </c>
      <c r="EW26" s="55">
        <v>696.25460999999996</v>
      </c>
      <c r="EX26" s="52">
        <v>28761.570350000002</v>
      </c>
      <c r="EY26" s="55">
        <v>1296.80592</v>
      </c>
      <c r="EZ26" s="52">
        <v>38604.993240000003</v>
      </c>
      <c r="FA26" s="55">
        <v>1708.2707800000001</v>
      </c>
      <c r="FB26" s="52">
        <v>42914.383459999997</v>
      </c>
      <c r="FC26" s="55">
        <v>1933.5884900000001</v>
      </c>
      <c r="FD26" s="52">
        <v>46963.570979999997</v>
      </c>
      <c r="FE26" s="55">
        <v>16804.472819999999</v>
      </c>
      <c r="FF26" s="59">
        <v>52603.501980000001</v>
      </c>
      <c r="FG26" s="55">
        <v>27597.216920000003</v>
      </c>
      <c r="FH26" s="52">
        <v>63637.409070000002</v>
      </c>
      <c r="FI26" s="55">
        <v>30246.029190000001</v>
      </c>
      <c r="FJ26" s="52">
        <v>68051.437409999999</v>
      </c>
      <c r="FK26" s="55">
        <v>30572.857169999999</v>
      </c>
      <c r="FL26" s="52">
        <v>74928.075200000007</v>
      </c>
      <c r="FM26" s="55">
        <v>75415.164400000009</v>
      </c>
      <c r="FN26" s="52">
        <v>7540.70172</v>
      </c>
      <c r="FO26" s="55">
        <v>164.46472</v>
      </c>
      <c r="FP26" s="52">
        <v>11681.038460000002</v>
      </c>
      <c r="FQ26" s="55">
        <v>391.75274000000002</v>
      </c>
      <c r="FR26" s="52">
        <v>16621.853950000001</v>
      </c>
      <c r="FS26" s="55">
        <v>748.67147</v>
      </c>
      <c r="FT26" s="52">
        <v>20606.616180000001</v>
      </c>
      <c r="FU26" s="55">
        <v>1114.24981</v>
      </c>
      <c r="FV26" s="52">
        <v>26221.615420000002</v>
      </c>
      <c r="FW26" s="55">
        <v>1931.2549799999999</v>
      </c>
      <c r="FX26" s="52">
        <v>31760.231889999999</v>
      </c>
      <c r="FY26" s="55">
        <v>2218.4111400000002</v>
      </c>
      <c r="FZ26" s="52">
        <v>37719.235090000002</v>
      </c>
      <c r="GA26" s="55">
        <f>2474.41238+5.21068</f>
        <v>2479.6230600000004</v>
      </c>
      <c r="GB26" s="52">
        <v>47383.263420000003</v>
      </c>
      <c r="GC26" s="55">
        <v>2559.6572700000002</v>
      </c>
      <c r="GD26" s="52">
        <v>56152.197560000001</v>
      </c>
      <c r="GE26" s="55">
        <v>2705.2427499999999</v>
      </c>
      <c r="GF26" s="52">
        <v>60360.269180000003</v>
      </c>
      <c r="GG26" s="55">
        <v>2972.0859099999998</v>
      </c>
      <c r="GH26" s="52">
        <v>72159.191009999995</v>
      </c>
      <c r="GI26" s="55">
        <v>3500.8559</v>
      </c>
      <c r="GJ26" s="52">
        <v>88952.945600000006</v>
      </c>
      <c r="GK26" s="55">
        <v>3768.99521</v>
      </c>
      <c r="GL26" s="52">
        <v>8560.0033399999993</v>
      </c>
      <c r="GM26" s="55">
        <v>105.76609000000001</v>
      </c>
      <c r="GN26" s="52">
        <v>12398.404500000001</v>
      </c>
      <c r="GO26" s="55">
        <v>162.66596000000001</v>
      </c>
      <c r="GP26" s="52">
        <v>16646.87712999999</v>
      </c>
      <c r="GQ26" s="55">
        <v>514.86009000000001</v>
      </c>
      <c r="GR26" s="52">
        <v>24341.844150000001</v>
      </c>
      <c r="GS26" s="55">
        <v>913.20768999999996</v>
      </c>
      <c r="GT26" s="52">
        <v>31740.061969999999</v>
      </c>
      <c r="GU26" s="55">
        <v>1173.4559200000001</v>
      </c>
      <c r="GV26" s="52">
        <v>39116.009129999999</v>
      </c>
      <c r="GW26" s="55">
        <v>1531.8786</v>
      </c>
      <c r="GX26" s="52">
        <v>50029.817020000002</v>
      </c>
      <c r="GY26" s="55">
        <v>1743.5399600000001</v>
      </c>
      <c r="GZ26" s="52">
        <v>54644.74755</v>
      </c>
      <c r="HA26" s="55">
        <v>1815.7819199999999</v>
      </c>
      <c r="HB26" s="52">
        <v>64452.981599999999</v>
      </c>
      <c r="HC26" s="55">
        <v>2339.5730800000001</v>
      </c>
      <c r="HD26" s="52">
        <v>69105.051560000007</v>
      </c>
      <c r="HE26" s="55">
        <v>2517.7541099999999</v>
      </c>
      <c r="HF26" s="52">
        <v>78702.885030000005</v>
      </c>
      <c r="HG26" s="55">
        <v>2714.19524</v>
      </c>
      <c r="HH26" s="52">
        <v>85525.112099999998</v>
      </c>
      <c r="HI26" s="55">
        <v>4010.0798100000002</v>
      </c>
      <c r="HJ26" s="52">
        <v>7581.3615900000004</v>
      </c>
      <c r="HK26" s="55">
        <v>81.476789999999994</v>
      </c>
      <c r="HL26" s="52">
        <v>18306.146379999998</v>
      </c>
      <c r="HM26" s="55">
        <v>408.59892000000002</v>
      </c>
      <c r="HN26" s="52">
        <v>22950.651180000001</v>
      </c>
      <c r="HO26" s="55">
        <v>481.70819</v>
      </c>
      <c r="HP26" s="52">
        <v>33371.225879999998</v>
      </c>
      <c r="HQ26" s="55">
        <v>679.29979000000003</v>
      </c>
      <c r="HR26" s="52">
        <v>38308.139990000003</v>
      </c>
      <c r="HS26" s="55">
        <v>1406.89203</v>
      </c>
      <c r="HT26" s="52">
        <v>58614.933929999999</v>
      </c>
      <c r="HU26" s="55">
        <v>1555.2898299999999</v>
      </c>
      <c r="HV26" s="52">
        <v>67868.237469999993</v>
      </c>
      <c r="HW26" s="55">
        <v>1930.0853500000001</v>
      </c>
      <c r="HX26" s="52">
        <v>72530.897240000006</v>
      </c>
      <c r="HY26" s="55">
        <v>2833.41941</v>
      </c>
      <c r="HZ26" s="52">
        <v>82650.815119999999</v>
      </c>
      <c r="IA26" s="55">
        <v>3348.3159300000002</v>
      </c>
      <c r="IB26" s="16" t="s">
        <v>113</v>
      </c>
      <c r="ID26" s="81"/>
    </row>
    <row r="27" spans="1:238" s="9" customFormat="1" ht="22.5" customHeight="1" x14ac:dyDescent="0.4">
      <c r="A27" s="20" t="s">
        <v>57</v>
      </c>
      <c r="B27" s="50">
        <v>1712.2983899999999</v>
      </c>
      <c r="C27" s="50">
        <v>731.08556999999996</v>
      </c>
      <c r="D27" s="50">
        <v>4480.9744299999993</v>
      </c>
      <c r="E27" s="50">
        <v>1636.44559</v>
      </c>
      <c r="F27" s="50">
        <v>6089.8972100000001</v>
      </c>
      <c r="G27" s="50">
        <v>2772.3521399999995</v>
      </c>
      <c r="H27" s="50">
        <v>7687.5887699999994</v>
      </c>
      <c r="I27" s="50">
        <v>3713.4522299999999</v>
      </c>
      <c r="J27" s="50">
        <v>9374.6315799999993</v>
      </c>
      <c r="K27" s="50">
        <v>4884.9043300000003</v>
      </c>
      <c r="L27" s="50">
        <v>10560.077810000001</v>
      </c>
      <c r="M27" s="50">
        <v>5711.9737500000001</v>
      </c>
      <c r="N27" s="50">
        <v>12230.46135</v>
      </c>
      <c r="O27" s="50">
        <v>6576.6550199999992</v>
      </c>
      <c r="P27" s="50">
        <v>14244.819220000001</v>
      </c>
      <c r="Q27" s="50">
        <v>7392.6246900000006</v>
      </c>
      <c r="R27" s="50">
        <v>16894.26756</v>
      </c>
      <c r="S27" s="50">
        <v>8370.9069299999992</v>
      </c>
      <c r="T27" s="50">
        <v>18496.267319999999</v>
      </c>
      <c r="U27" s="50">
        <v>9261.3770199999999</v>
      </c>
      <c r="V27" s="50">
        <v>20531.36837</v>
      </c>
      <c r="W27" s="50">
        <v>10059.78752</v>
      </c>
      <c r="X27" s="50">
        <v>22546.881100000002</v>
      </c>
      <c r="Y27" s="50">
        <v>10873.82043</v>
      </c>
      <c r="Z27" s="50">
        <v>2075.6687200000001</v>
      </c>
      <c r="AA27" s="50">
        <v>830.83537999999999</v>
      </c>
      <c r="AB27" s="50">
        <v>3776.4115499999998</v>
      </c>
      <c r="AC27" s="50">
        <v>1633.85194</v>
      </c>
      <c r="AD27" s="50">
        <v>5098.3764900000006</v>
      </c>
      <c r="AE27" s="50">
        <v>2092.32339</v>
      </c>
      <c r="AF27" s="50">
        <v>8752.2875899999999</v>
      </c>
      <c r="AG27" s="50">
        <v>2830.5947099999998</v>
      </c>
      <c r="AH27" s="50">
        <v>10825.75582</v>
      </c>
      <c r="AI27" s="50">
        <v>3673.31504</v>
      </c>
      <c r="AJ27" s="50">
        <v>12553.074570000001</v>
      </c>
      <c r="AK27" s="50">
        <v>4227.8707599999998</v>
      </c>
      <c r="AL27" s="50">
        <v>14963.782789999999</v>
      </c>
      <c r="AM27" s="50">
        <v>5078.5562800000007</v>
      </c>
      <c r="AN27" s="50">
        <v>17286.21313</v>
      </c>
      <c r="AO27" s="50">
        <v>5870.1425300000001</v>
      </c>
      <c r="AP27" s="50">
        <v>20560.59101</v>
      </c>
      <c r="AQ27" s="50">
        <v>6553.3480099999997</v>
      </c>
      <c r="AR27" s="50">
        <v>23233.328899999997</v>
      </c>
      <c r="AS27" s="50">
        <v>7667.09908</v>
      </c>
      <c r="AT27" s="50">
        <v>25817.671859999999</v>
      </c>
      <c r="AU27" s="50">
        <v>8738.2193599999991</v>
      </c>
      <c r="AV27" s="50">
        <v>28449.747950000001</v>
      </c>
      <c r="AW27" s="50">
        <v>9574.6235399999987</v>
      </c>
      <c r="AX27" s="50">
        <v>2414.2360699999999</v>
      </c>
      <c r="AY27" s="50">
        <v>872.02897999999993</v>
      </c>
      <c r="AZ27" s="50">
        <v>4091.8614400000001</v>
      </c>
      <c r="BA27" s="50">
        <v>1705.18379</v>
      </c>
      <c r="BB27" s="50">
        <v>5849.7533099999991</v>
      </c>
      <c r="BC27" s="50">
        <v>2564.08304</v>
      </c>
      <c r="BD27" s="50">
        <v>8999.8632699999998</v>
      </c>
      <c r="BE27" s="50">
        <v>3489.8512099999998</v>
      </c>
      <c r="BF27" s="50">
        <v>12357.311800000001</v>
      </c>
      <c r="BG27" s="50">
        <v>4548.4163399999998</v>
      </c>
      <c r="BH27" s="50">
        <v>16411.53357</v>
      </c>
      <c r="BI27" s="50">
        <v>5613.6062699999993</v>
      </c>
      <c r="BJ27" s="50">
        <v>19332.522559999998</v>
      </c>
      <c r="BK27" s="50">
        <v>6782.3033599999999</v>
      </c>
      <c r="BL27" s="50">
        <v>22071.511109999999</v>
      </c>
      <c r="BM27" s="50">
        <v>7844.6509100000003</v>
      </c>
      <c r="BN27" s="50">
        <v>25852.507369999999</v>
      </c>
      <c r="BO27" s="50">
        <v>9147.9244199999994</v>
      </c>
      <c r="BP27" s="50">
        <v>28966.579109999999</v>
      </c>
      <c r="BQ27" s="50">
        <v>10516.861859999999</v>
      </c>
      <c r="BR27" s="50">
        <v>32761.302800000001</v>
      </c>
      <c r="BS27" s="50">
        <v>11426.892539999999</v>
      </c>
      <c r="BT27" s="50">
        <v>36280.606289999996</v>
      </c>
      <c r="BU27" s="50">
        <v>13072.253429999999</v>
      </c>
      <c r="BV27" s="50">
        <v>7040.9058199999999</v>
      </c>
      <c r="BW27" s="50">
        <v>995.61069999999995</v>
      </c>
      <c r="BX27" s="50">
        <v>10170.661769999999</v>
      </c>
      <c r="BY27" s="50">
        <v>2179.2914100000003</v>
      </c>
      <c r="BZ27" s="50">
        <v>12254.437039999999</v>
      </c>
      <c r="CA27" s="50">
        <v>3232.73452</v>
      </c>
      <c r="CB27" s="50">
        <v>14008.78883</v>
      </c>
      <c r="CC27" s="50">
        <v>4276.9317499999997</v>
      </c>
      <c r="CD27" s="50">
        <v>17612.56698</v>
      </c>
      <c r="CE27" s="50">
        <v>5305.1061900000004</v>
      </c>
      <c r="CF27" s="50">
        <v>21355.07144</v>
      </c>
      <c r="CG27" s="50">
        <v>6222.6787999999997</v>
      </c>
      <c r="CH27" s="50">
        <v>23189.66129</v>
      </c>
      <c r="CI27" s="50">
        <v>7330.0901299999996</v>
      </c>
      <c r="CJ27" s="50">
        <v>25629.693780000001</v>
      </c>
      <c r="CK27" s="50">
        <v>8327.8468200000007</v>
      </c>
      <c r="CL27" s="50">
        <v>29264.769929999999</v>
      </c>
      <c r="CM27" s="50">
        <v>9636.7668200000007</v>
      </c>
      <c r="CN27" s="50">
        <v>31954.031149999999</v>
      </c>
      <c r="CO27" s="50">
        <v>10552.34403</v>
      </c>
      <c r="CP27" s="50">
        <v>34447.662270000001</v>
      </c>
      <c r="CQ27" s="50">
        <v>11785.552679999999</v>
      </c>
      <c r="CR27" s="50">
        <v>36875.872100000001</v>
      </c>
      <c r="CS27" s="50">
        <v>13039.36536</v>
      </c>
      <c r="CT27" s="50">
        <v>2705.07744</v>
      </c>
      <c r="CU27" s="50">
        <v>726.95299999999997</v>
      </c>
      <c r="CV27" s="50">
        <v>5584.7871500000001</v>
      </c>
      <c r="CW27" s="50">
        <v>1680.02854</v>
      </c>
      <c r="CX27" s="50">
        <v>7493.4080000000004</v>
      </c>
      <c r="CY27" s="50">
        <v>3281.2665400000001</v>
      </c>
      <c r="CZ27" s="50">
        <v>10269.217470000001</v>
      </c>
      <c r="DA27" s="50">
        <v>4768.54036</v>
      </c>
      <c r="DB27" s="50">
        <v>13120.627869999998</v>
      </c>
      <c r="DC27" s="50">
        <v>6220.8655999999992</v>
      </c>
      <c r="DD27" s="50">
        <v>18114.261760000001</v>
      </c>
      <c r="DE27" s="50">
        <v>7266.7930199999992</v>
      </c>
      <c r="DF27" s="50">
        <v>22388.686280000002</v>
      </c>
      <c r="DG27" s="50">
        <v>8511.2512699999988</v>
      </c>
      <c r="DH27" s="50">
        <v>25571.95434</v>
      </c>
      <c r="DI27" s="50">
        <v>9817.2290199999989</v>
      </c>
      <c r="DJ27" s="50">
        <v>29092.94498</v>
      </c>
      <c r="DK27" s="50">
        <v>11160.71881</v>
      </c>
      <c r="DL27" s="50">
        <v>32435.72883</v>
      </c>
      <c r="DM27" s="50">
        <v>12508.110839999999</v>
      </c>
      <c r="DN27" s="50">
        <v>36202.812319999997</v>
      </c>
      <c r="DO27" s="50">
        <v>14126.59737</v>
      </c>
      <c r="DP27" s="50">
        <v>39671.959589999999</v>
      </c>
      <c r="DQ27" s="51">
        <v>15849.2338</v>
      </c>
      <c r="DR27" s="59">
        <v>2938.7702100000001</v>
      </c>
      <c r="DS27" s="53">
        <v>1133.72642</v>
      </c>
      <c r="DT27" s="54">
        <v>6194.2943299999997</v>
      </c>
      <c r="DU27" s="51">
        <v>2617.1095</v>
      </c>
      <c r="DV27" s="52">
        <v>8441.0348900000008</v>
      </c>
      <c r="DW27" s="53">
        <v>3755.2616800000001</v>
      </c>
      <c r="DX27" s="54">
        <v>12440.50382</v>
      </c>
      <c r="DY27" s="51">
        <v>5642.9458400000003</v>
      </c>
      <c r="DZ27" s="52">
        <v>15450.58527</v>
      </c>
      <c r="EA27" s="53">
        <v>7057.1116700000002</v>
      </c>
      <c r="EB27" s="54">
        <v>18857.232629999999</v>
      </c>
      <c r="EC27" s="51">
        <v>8374.8241699999999</v>
      </c>
      <c r="ED27" s="52">
        <v>22349.864529999999</v>
      </c>
      <c r="EE27" s="53">
        <v>9520.7954900000004</v>
      </c>
      <c r="EF27" s="52">
        <v>26527.45953</v>
      </c>
      <c r="EG27" s="53">
        <v>10824.02684</v>
      </c>
      <c r="EH27" s="54">
        <v>31186.241480000001</v>
      </c>
      <c r="EI27" s="53">
        <v>12278.710220000001</v>
      </c>
      <c r="EJ27" s="54">
        <v>34670.708610000001</v>
      </c>
      <c r="EK27" s="53">
        <v>13970.1212</v>
      </c>
      <c r="EL27" s="52">
        <v>38669.148269999998</v>
      </c>
      <c r="EM27" s="55">
        <v>15214.736559999999</v>
      </c>
      <c r="EN27" s="52">
        <v>42097.627460000003</v>
      </c>
      <c r="EO27" s="55">
        <v>16754.824410000001</v>
      </c>
      <c r="EP27" s="52">
        <v>3509.17416</v>
      </c>
      <c r="EQ27" s="55">
        <v>1205.6407099999999</v>
      </c>
      <c r="ER27" s="52">
        <v>6669.0451299999995</v>
      </c>
      <c r="ES27" s="55">
        <v>2732.2744199999997</v>
      </c>
      <c r="ET27" s="52">
        <v>9715.4286400000001</v>
      </c>
      <c r="EU27" s="55">
        <v>4569.5746900000004</v>
      </c>
      <c r="EV27" s="52">
        <v>13497.400460000001</v>
      </c>
      <c r="EW27" s="55">
        <v>6089.0961600000001</v>
      </c>
      <c r="EX27" s="52">
        <v>17994.112659999999</v>
      </c>
      <c r="EY27" s="55">
        <v>7573.0096399999993</v>
      </c>
      <c r="EZ27" s="52">
        <v>22380.642110000001</v>
      </c>
      <c r="FA27" s="55">
        <v>8926.9223999999995</v>
      </c>
      <c r="FB27" s="52">
        <v>27178.277600000001</v>
      </c>
      <c r="FC27" s="55">
        <v>10167.586150000001</v>
      </c>
      <c r="FD27" s="52">
        <v>32547.965520000002</v>
      </c>
      <c r="FE27" s="55">
        <v>12133.559370000001</v>
      </c>
      <c r="FF27" s="52">
        <v>37818.500260000001</v>
      </c>
      <c r="FG27" s="55">
        <v>14006.883980000001</v>
      </c>
      <c r="FH27" s="52">
        <v>42464.214749999999</v>
      </c>
      <c r="FI27" s="55">
        <v>16466.117149999998</v>
      </c>
      <c r="FJ27" s="52">
        <v>47641.989930000003</v>
      </c>
      <c r="FK27" s="55">
        <v>18271.004959999998</v>
      </c>
      <c r="FL27" s="52">
        <v>54871.412659999995</v>
      </c>
      <c r="FM27" s="55">
        <v>20432.70477</v>
      </c>
      <c r="FN27" s="52">
        <v>4574.1160300000001</v>
      </c>
      <c r="FO27" s="55">
        <v>1526.4356700000001</v>
      </c>
      <c r="FP27" s="52">
        <v>9180.9326500000006</v>
      </c>
      <c r="FQ27" s="55">
        <v>3306.0548199999998</v>
      </c>
      <c r="FR27" s="52">
        <v>13304.01613</v>
      </c>
      <c r="FS27" s="55">
        <v>4578.8158599999997</v>
      </c>
      <c r="FT27" s="52">
        <v>18062.296350000001</v>
      </c>
      <c r="FU27" s="55">
        <v>6572.6817499999997</v>
      </c>
      <c r="FV27" s="52">
        <v>23471.534760000002</v>
      </c>
      <c r="FW27" s="55">
        <v>8425.5092499999992</v>
      </c>
      <c r="FX27" s="52">
        <v>27390.046910000001</v>
      </c>
      <c r="FY27" s="55">
        <v>9840.0213600000006</v>
      </c>
      <c r="FZ27" s="52">
        <v>33809.683389999998</v>
      </c>
      <c r="GA27" s="55">
        <f>11630.17449+20.01</f>
        <v>11650.18449</v>
      </c>
      <c r="GB27" s="52">
        <v>39494.639479999998</v>
      </c>
      <c r="GC27" s="55">
        <v>13601.10806</v>
      </c>
      <c r="GD27" s="52">
        <v>44636.016430000003</v>
      </c>
      <c r="GE27" s="55">
        <v>15615.45278</v>
      </c>
      <c r="GF27" s="52">
        <v>50698.263559999999</v>
      </c>
      <c r="GG27" s="55">
        <v>18379.078079999999</v>
      </c>
      <c r="GH27" s="52">
        <v>58516.171990000003</v>
      </c>
      <c r="GI27" s="55">
        <v>20811.3819</v>
      </c>
      <c r="GJ27" s="52">
        <v>66031.578410000002</v>
      </c>
      <c r="GK27" s="55">
        <v>23295.760999999999</v>
      </c>
      <c r="GL27" s="52">
        <v>5615.5430100000003</v>
      </c>
      <c r="GM27" s="55">
        <v>2391.1035099999999</v>
      </c>
      <c r="GN27" s="52">
        <v>11603.08568</v>
      </c>
      <c r="GO27" s="55">
        <v>4660.5639799999999</v>
      </c>
      <c r="GP27" s="52">
        <v>15747.591730000006</v>
      </c>
      <c r="GQ27" s="55">
        <v>6614.6959100000004</v>
      </c>
      <c r="GR27" s="52">
        <v>22775.098000000002</v>
      </c>
      <c r="GS27" s="55">
        <v>9255.8859900000007</v>
      </c>
      <c r="GT27" s="52">
        <v>28520.428830000001</v>
      </c>
      <c r="GU27" s="55">
        <v>12022.89025</v>
      </c>
      <c r="GV27" s="52">
        <v>33531.363740000001</v>
      </c>
      <c r="GW27" s="55">
        <v>14022.43166</v>
      </c>
      <c r="GX27" s="52">
        <v>40441.579460000001</v>
      </c>
      <c r="GY27" s="55">
        <v>17441.951939999999</v>
      </c>
      <c r="GZ27" s="52">
        <v>46622.022340000003</v>
      </c>
      <c r="HA27" s="55">
        <v>20283.07574</v>
      </c>
      <c r="HB27" s="52">
        <v>54007.425660000001</v>
      </c>
      <c r="HC27" s="55">
        <v>23265.041720000001</v>
      </c>
      <c r="HD27" s="52">
        <v>60676.268510000002</v>
      </c>
      <c r="HE27" s="55">
        <v>26309.052670000001</v>
      </c>
      <c r="HF27" s="52">
        <v>67793.23861</v>
      </c>
      <c r="HG27" s="55">
        <v>29029.265909999998</v>
      </c>
      <c r="HH27" s="52">
        <v>78626.107019999996</v>
      </c>
      <c r="HI27" s="55">
        <v>32462.96488</v>
      </c>
      <c r="HJ27" s="52">
        <v>5452.4305800000002</v>
      </c>
      <c r="HK27" s="55">
        <v>2428.7779500000001</v>
      </c>
      <c r="HL27" s="52">
        <v>10253.931790000001</v>
      </c>
      <c r="HM27" s="55">
        <v>5728.8678300000001</v>
      </c>
      <c r="HN27" s="52">
        <v>16784.928680000001</v>
      </c>
      <c r="HO27" s="55">
        <v>8387.0417600000001</v>
      </c>
      <c r="HP27" s="52">
        <v>23040.046600000001</v>
      </c>
      <c r="HQ27" s="55">
        <v>12242.317349999999</v>
      </c>
      <c r="HR27" s="52">
        <v>29052.773219999999</v>
      </c>
      <c r="HS27" s="55">
        <v>15358.70018</v>
      </c>
      <c r="HT27" s="52">
        <v>34867.617299999998</v>
      </c>
      <c r="HU27" s="55">
        <v>18991.141530000001</v>
      </c>
      <c r="HV27" s="52">
        <v>40936.304909999999</v>
      </c>
      <c r="HW27" s="55">
        <v>22450.974730000002</v>
      </c>
      <c r="HX27" s="52">
        <v>47387.485119999998</v>
      </c>
      <c r="HY27" s="55">
        <v>25488.3482</v>
      </c>
      <c r="HZ27" s="52">
        <v>54209.813670000003</v>
      </c>
      <c r="IA27" s="55">
        <v>29609.909380000001</v>
      </c>
      <c r="IB27" s="21" t="s">
        <v>114</v>
      </c>
      <c r="ID27" s="83"/>
    </row>
    <row r="28" spans="1:238" s="9" customFormat="1" ht="22.5" customHeight="1" x14ac:dyDescent="0.4">
      <c r="A28" s="15" t="s">
        <v>58</v>
      </c>
      <c r="B28" s="50">
        <v>27.70309</v>
      </c>
      <c r="C28" s="50">
        <v>0</v>
      </c>
      <c r="D28" s="50">
        <v>212.72824543800002</v>
      </c>
      <c r="E28" s="50">
        <v>3.7921999999999998</v>
      </c>
      <c r="F28" s="50">
        <v>544.63065000000006</v>
      </c>
      <c r="G28" s="50">
        <v>5.8219200000000004</v>
      </c>
      <c r="H28" s="50">
        <v>942.77906000000007</v>
      </c>
      <c r="I28" s="50">
        <v>5.8219200000000004</v>
      </c>
      <c r="J28" s="50">
        <v>1219.7019299999999</v>
      </c>
      <c r="K28" s="50">
        <v>16.143059999999998</v>
      </c>
      <c r="L28" s="50">
        <v>1479.33718</v>
      </c>
      <c r="M28" s="50">
        <v>23.340730000000001</v>
      </c>
      <c r="N28" s="50">
        <v>1693.6954099999998</v>
      </c>
      <c r="O28" s="50">
        <v>31.88401</v>
      </c>
      <c r="P28" s="50">
        <v>1975.2191699999998</v>
      </c>
      <c r="Q28" s="50">
        <v>36.550989999999999</v>
      </c>
      <c r="R28" s="50">
        <v>2300.6860699999997</v>
      </c>
      <c r="S28" s="50">
        <v>36.976019999999998</v>
      </c>
      <c r="T28" s="50">
        <v>2661.1942999999997</v>
      </c>
      <c r="U28" s="50">
        <v>37.749000000000002</v>
      </c>
      <c r="V28" s="50">
        <v>3010.8397500000001</v>
      </c>
      <c r="W28" s="50">
        <v>37.749000000000002</v>
      </c>
      <c r="X28" s="50">
        <v>3257.5207400000004</v>
      </c>
      <c r="Y28" s="50">
        <v>76.021070000000009</v>
      </c>
      <c r="Z28" s="50">
        <v>490.39840999999996</v>
      </c>
      <c r="AA28" s="50">
        <v>2.6299299999999999</v>
      </c>
      <c r="AB28" s="50">
        <v>1603.92354</v>
      </c>
      <c r="AC28" s="50">
        <v>3.0243500000000001</v>
      </c>
      <c r="AD28" s="50">
        <v>1805.70705</v>
      </c>
      <c r="AE28" s="50">
        <v>19.794630000000002</v>
      </c>
      <c r="AF28" s="50">
        <v>2121.6337899999999</v>
      </c>
      <c r="AG28" s="50">
        <v>19.936049999999998</v>
      </c>
      <c r="AH28" s="50">
        <v>2378.9641499999998</v>
      </c>
      <c r="AI28" s="50">
        <v>22.127130000000001</v>
      </c>
      <c r="AJ28" s="50">
        <v>2610.0838799999997</v>
      </c>
      <c r="AK28" s="50">
        <v>24.535710000000002</v>
      </c>
      <c r="AL28" s="50">
        <v>2921.6536099999998</v>
      </c>
      <c r="AM28" s="50">
        <v>39.332989999999995</v>
      </c>
      <c r="AN28" s="50">
        <v>3105.6515299999996</v>
      </c>
      <c r="AO28" s="50">
        <v>39.58511</v>
      </c>
      <c r="AP28" s="50">
        <v>3334.7594399999998</v>
      </c>
      <c r="AQ28" s="50">
        <v>153.47552999999999</v>
      </c>
      <c r="AR28" s="50">
        <v>3634.2260000000001</v>
      </c>
      <c r="AS28" s="50">
        <v>175.45423000000002</v>
      </c>
      <c r="AT28" s="50">
        <v>3950.88139</v>
      </c>
      <c r="AU28" s="50">
        <v>175.71092999999999</v>
      </c>
      <c r="AV28" s="50">
        <v>4199.5760799999998</v>
      </c>
      <c r="AW28" s="50">
        <v>185.17075</v>
      </c>
      <c r="AX28" s="50">
        <v>458.62979999999999</v>
      </c>
      <c r="AY28" s="50">
        <v>1.0679000000000001</v>
      </c>
      <c r="AZ28" s="50">
        <v>750.35173999999995</v>
      </c>
      <c r="BA28" s="50">
        <v>13.8222</v>
      </c>
      <c r="BB28" s="50">
        <v>984.55610000000001</v>
      </c>
      <c r="BC28" s="50">
        <v>13.8222</v>
      </c>
      <c r="BD28" s="50">
        <v>1242.2679699999999</v>
      </c>
      <c r="BE28" s="50">
        <v>184.56765999999999</v>
      </c>
      <c r="BF28" s="50">
        <v>1522.86295</v>
      </c>
      <c r="BG28" s="50">
        <v>211.35560000000001</v>
      </c>
      <c r="BH28" s="50">
        <v>1741.74947</v>
      </c>
      <c r="BI28" s="50">
        <v>235.98913000000002</v>
      </c>
      <c r="BJ28" s="50">
        <v>2019.5016900000001</v>
      </c>
      <c r="BK28" s="50">
        <v>237.77427</v>
      </c>
      <c r="BL28" s="50">
        <v>2343.9087200000004</v>
      </c>
      <c r="BM28" s="50">
        <v>254.14526999999998</v>
      </c>
      <c r="BN28" s="50">
        <v>2726.0600299999996</v>
      </c>
      <c r="BO28" s="50">
        <v>256.44182999999998</v>
      </c>
      <c r="BP28" s="50">
        <v>3093.91507</v>
      </c>
      <c r="BQ28" s="50">
        <v>257.93403000000001</v>
      </c>
      <c r="BR28" s="50">
        <v>3405.2932500000002</v>
      </c>
      <c r="BS28" s="50">
        <v>288.94628</v>
      </c>
      <c r="BT28" s="50">
        <v>3851.9622899999999</v>
      </c>
      <c r="BU28" s="50">
        <v>289.88764000000003</v>
      </c>
      <c r="BV28" s="50">
        <v>332.81819999999999</v>
      </c>
      <c r="BW28" s="50">
        <v>3.1568299999999998</v>
      </c>
      <c r="BX28" s="50">
        <v>655.20318999999995</v>
      </c>
      <c r="BY28" s="50">
        <v>25.10717</v>
      </c>
      <c r="BZ28" s="50">
        <v>982.49026000000003</v>
      </c>
      <c r="CA28" s="50">
        <v>27.656549999999999</v>
      </c>
      <c r="CB28" s="50">
        <v>1306.40915</v>
      </c>
      <c r="CC28" s="50">
        <v>7.05328</v>
      </c>
      <c r="CD28" s="50">
        <v>1597.4234899999999</v>
      </c>
      <c r="CE28" s="50">
        <v>18.784119999999998</v>
      </c>
      <c r="CF28" s="50">
        <v>3519.4227700000001</v>
      </c>
      <c r="CG28" s="50">
        <v>41.208839999999995</v>
      </c>
      <c r="CH28" s="50">
        <v>3876.3632400000001</v>
      </c>
      <c r="CI28" s="50">
        <v>47.200629999999997</v>
      </c>
      <c r="CJ28" s="50">
        <v>4335.36618</v>
      </c>
      <c r="CK28" s="50">
        <v>49.13608</v>
      </c>
      <c r="CL28" s="50">
        <v>4673.6455999999998</v>
      </c>
      <c r="CM28" s="50">
        <v>49.423989999999996</v>
      </c>
      <c r="CN28" s="50">
        <v>5042.1835599999995</v>
      </c>
      <c r="CO28" s="50">
        <v>50.247230000000002</v>
      </c>
      <c r="CP28" s="50">
        <v>5367.5645999999997</v>
      </c>
      <c r="CQ28" s="50">
        <v>50.457419999999999</v>
      </c>
      <c r="CR28" s="50">
        <v>5731.2465000000002</v>
      </c>
      <c r="CS28" s="50">
        <v>67.490160000000003</v>
      </c>
      <c r="CT28" s="50">
        <v>567.87279000000001</v>
      </c>
      <c r="CU28" s="50">
        <v>18.452110000000001</v>
      </c>
      <c r="CV28" s="50">
        <v>781.73919999999998</v>
      </c>
      <c r="CW28" s="50">
        <v>51.031349999999996</v>
      </c>
      <c r="CX28" s="50">
        <v>1324.2650900000001</v>
      </c>
      <c r="CY28" s="50">
        <v>51.506349999999998</v>
      </c>
      <c r="CZ28" s="50">
        <v>1742.4875400000001</v>
      </c>
      <c r="DA28" s="50">
        <v>51.772349999999996</v>
      </c>
      <c r="DB28" s="50">
        <v>2319.2835499999997</v>
      </c>
      <c r="DC28" s="50">
        <v>52.052349999999997</v>
      </c>
      <c r="DD28" s="50">
        <v>2656.5850800000003</v>
      </c>
      <c r="DE28" s="50">
        <v>74.010289999999998</v>
      </c>
      <c r="DF28" s="50">
        <v>2923.54792</v>
      </c>
      <c r="DG28" s="50">
        <v>74.152789999999996</v>
      </c>
      <c r="DH28" s="50">
        <v>3221.90688</v>
      </c>
      <c r="DI28" s="50">
        <v>76.861550000000008</v>
      </c>
      <c r="DJ28" s="50">
        <v>3584.64642</v>
      </c>
      <c r="DK28" s="50">
        <v>131.42287999999999</v>
      </c>
      <c r="DL28" s="50">
        <v>3966.1490800000001</v>
      </c>
      <c r="DM28" s="50">
        <v>248.06058999999999</v>
      </c>
      <c r="DN28" s="50">
        <v>4459.3626299999996</v>
      </c>
      <c r="DO28" s="50">
        <v>253.14430999999999</v>
      </c>
      <c r="DP28" s="50">
        <v>4894.8787400000001</v>
      </c>
      <c r="DQ28" s="51">
        <v>253.5693</v>
      </c>
      <c r="DR28" s="52">
        <v>428.34165999999999</v>
      </c>
      <c r="DS28" s="53">
        <v>0.63061</v>
      </c>
      <c r="DT28" s="54">
        <v>869.73706000000004</v>
      </c>
      <c r="DU28" s="51">
        <v>1.2597700000000001</v>
      </c>
      <c r="DV28" s="52">
        <v>1204.7166</v>
      </c>
      <c r="DW28" s="53">
        <v>1.94482</v>
      </c>
      <c r="DX28" s="54">
        <v>1679.2376400000001</v>
      </c>
      <c r="DY28" s="51">
        <v>3.3911600000000002</v>
      </c>
      <c r="DZ28" s="52">
        <v>2131.2961300000002</v>
      </c>
      <c r="EA28" s="53">
        <v>3.8438599999999998</v>
      </c>
      <c r="EB28" s="54">
        <v>2562.3302399999998</v>
      </c>
      <c r="EC28" s="51">
        <v>4.9700300000000004</v>
      </c>
      <c r="ED28" s="52">
        <v>3044.9224199999999</v>
      </c>
      <c r="EE28" s="53">
        <v>4.9700300000000004</v>
      </c>
      <c r="EF28" s="52">
        <v>3469.8933900000002</v>
      </c>
      <c r="EG28" s="53">
        <v>14.777060000000001</v>
      </c>
      <c r="EH28" s="54">
        <v>3871.7921500000002</v>
      </c>
      <c r="EI28" s="53">
        <v>33.653509999999997</v>
      </c>
      <c r="EJ28" s="54">
        <v>4566.02574</v>
      </c>
      <c r="EK28" s="53">
        <v>33.653509999999997</v>
      </c>
      <c r="EL28" s="52">
        <v>5077.8429500000002</v>
      </c>
      <c r="EM28" s="55">
        <v>42.01437</v>
      </c>
      <c r="EN28" s="52">
        <v>5428.3847599999999</v>
      </c>
      <c r="EO28" s="55">
        <v>42.01437</v>
      </c>
      <c r="EP28" s="52">
        <v>620.53247999999996</v>
      </c>
      <c r="EQ28" s="55">
        <v>0</v>
      </c>
      <c r="ER28" s="52">
        <v>1162.72434</v>
      </c>
      <c r="ES28" s="55">
        <v>2.39202</v>
      </c>
      <c r="ET28" s="52">
        <v>1635.46219</v>
      </c>
      <c r="EU28" s="55">
        <v>2.39202</v>
      </c>
      <c r="EV28" s="52">
        <v>2149.13247</v>
      </c>
      <c r="EW28" s="55">
        <v>27.782</v>
      </c>
      <c r="EX28" s="52">
        <v>2632.2388500000002</v>
      </c>
      <c r="EY28" s="55">
        <v>46.783900000000003</v>
      </c>
      <c r="EZ28" s="52">
        <v>3150.9633699999999</v>
      </c>
      <c r="FA28" s="55">
        <v>66.987719999999996</v>
      </c>
      <c r="FB28" s="52">
        <v>3617.6998399999998</v>
      </c>
      <c r="FC28" s="55">
        <v>67.288520000000005</v>
      </c>
      <c r="FD28" s="52">
        <v>4011.0313900000001</v>
      </c>
      <c r="FE28" s="55">
        <v>71.946259999999995</v>
      </c>
      <c r="FF28" s="52">
        <v>4548.6686900000004</v>
      </c>
      <c r="FG28" s="55">
        <v>99.761259999999993</v>
      </c>
      <c r="FH28" s="52">
        <v>5017.8007900000002</v>
      </c>
      <c r="FI28" s="55">
        <v>126.30866</v>
      </c>
      <c r="FJ28" s="52">
        <v>5491.8635899999999</v>
      </c>
      <c r="FK28" s="55">
        <v>134.07932</v>
      </c>
      <c r="FL28" s="52">
        <v>5987.7356399999999</v>
      </c>
      <c r="FM28" s="55">
        <v>210.79160999999999</v>
      </c>
      <c r="FN28" s="52">
        <v>636.68690000000004</v>
      </c>
      <c r="FO28" s="55">
        <v>74.936000000000007</v>
      </c>
      <c r="FP28" s="52">
        <v>1034.3004699999999</v>
      </c>
      <c r="FQ28" s="55">
        <v>74.936000000000007</v>
      </c>
      <c r="FR28" s="52">
        <v>1484.43408</v>
      </c>
      <c r="FS28" s="55">
        <v>93.581890000000001</v>
      </c>
      <c r="FT28" s="52">
        <v>2051.15461</v>
      </c>
      <c r="FU28" s="55">
        <v>119.19449</v>
      </c>
      <c r="FV28" s="52">
        <v>2937.0487000000003</v>
      </c>
      <c r="FW28" s="55">
        <v>158.92518000000001</v>
      </c>
      <c r="FX28" s="52">
        <v>3693.0243599999999</v>
      </c>
      <c r="FY28" s="55">
        <v>306.67732999999998</v>
      </c>
      <c r="FZ28" s="52">
        <v>4178.9071199999998</v>
      </c>
      <c r="GA28" s="55">
        <v>380.38940000000002</v>
      </c>
      <c r="GB28" s="52">
        <v>4661.4913399999996</v>
      </c>
      <c r="GC28" s="55">
        <v>392.3442</v>
      </c>
      <c r="GD28" s="52">
        <v>5193.9886100000003</v>
      </c>
      <c r="GE28" s="55">
        <v>404.64425999999997</v>
      </c>
      <c r="GF28" s="52">
        <v>5799.2668299999996</v>
      </c>
      <c r="GG28" s="55">
        <v>404.64425999999997</v>
      </c>
      <c r="GH28" s="52">
        <v>6429.4897700000001</v>
      </c>
      <c r="GI28" s="55">
        <v>1674.3581999999999</v>
      </c>
      <c r="GJ28" s="52">
        <v>7010.5948500000004</v>
      </c>
      <c r="GK28" s="55">
        <v>1762.20814</v>
      </c>
      <c r="GL28" s="52">
        <v>500.16854000000001</v>
      </c>
      <c r="GM28" s="55">
        <v>0</v>
      </c>
      <c r="GN28" s="52">
        <v>809.16524000000004</v>
      </c>
      <c r="GO28" s="55">
        <v>0.23499999999999999</v>
      </c>
      <c r="GP28" s="52">
        <v>1280.1260899999997</v>
      </c>
      <c r="GQ28" s="55">
        <v>12.383799999999999</v>
      </c>
      <c r="GR28" s="52">
        <v>1904.53883</v>
      </c>
      <c r="GS28" s="55">
        <v>29.38475</v>
      </c>
      <c r="GT28" s="52">
        <v>2442.43264</v>
      </c>
      <c r="GU28" s="55">
        <v>29.38475</v>
      </c>
      <c r="GV28" s="52">
        <v>2886.5339300000001</v>
      </c>
      <c r="GW28" s="55">
        <v>36.559379999999997</v>
      </c>
      <c r="GX28" s="52">
        <v>3889.9375599999998</v>
      </c>
      <c r="GY28" s="55">
        <v>373.52886999999998</v>
      </c>
      <c r="GZ28" s="52">
        <v>4431.7827299999999</v>
      </c>
      <c r="HA28" s="55">
        <v>386.38589000000002</v>
      </c>
      <c r="HB28" s="52">
        <v>4851.7644</v>
      </c>
      <c r="HC28" s="55">
        <v>462.77620000000002</v>
      </c>
      <c r="HD28" s="52">
        <v>5393.8596200000002</v>
      </c>
      <c r="HE28" s="55">
        <v>503.39</v>
      </c>
      <c r="HF28" s="52">
        <v>5840.1435799999999</v>
      </c>
      <c r="HG28" s="55">
        <v>503.39</v>
      </c>
      <c r="HH28" s="52">
        <v>6454.1341700000003</v>
      </c>
      <c r="HI28" s="55">
        <v>520.59016999999994</v>
      </c>
      <c r="HJ28" s="52">
        <v>672.14094999999998</v>
      </c>
      <c r="HK28" s="55">
        <v>47.241250000000001</v>
      </c>
      <c r="HL28" s="52">
        <v>1130.92029</v>
      </c>
      <c r="HM28" s="55">
        <v>47.741250000000001</v>
      </c>
      <c r="HN28" s="52">
        <v>1519.9443699999999</v>
      </c>
      <c r="HO28" s="55">
        <v>47.741250000000001</v>
      </c>
      <c r="HP28" s="52">
        <v>2359.6675399999999</v>
      </c>
      <c r="HQ28" s="55">
        <v>47.741250000000001</v>
      </c>
      <c r="HR28" s="52">
        <v>2966.2773200000001</v>
      </c>
      <c r="HS28" s="55">
        <v>226.42028999999999</v>
      </c>
      <c r="HT28" s="52">
        <v>3573.2307099999998</v>
      </c>
      <c r="HU28" s="55">
        <v>426.17329999999998</v>
      </c>
      <c r="HV28" s="52">
        <v>4212.1546200000003</v>
      </c>
      <c r="HW28" s="55">
        <v>459.47683999999998</v>
      </c>
      <c r="HX28" s="52">
        <v>4823.2126500000004</v>
      </c>
      <c r="HY28" s="55">
        <v>589.28646000000003</v>
      </c>
      <c r="HZ28" s="52">
        <v>5515.9107800000002</v>
      </c>
      <c r="IA28" s="55">
        <v>742.29202999999995</v>
      </c>
      <c r="IB28" s="16" t="s">
        <v>115</v>
      </c>
    </row>
    <row r="29" spans="1:238" s="9" customFormat="1" ht="22.5" customHeight="1" x14ac:dyDescent="0.4">
      <c r="A29" s="15" t="s">
        <v>59</v>
      </c>
      <c r="B29" s="50">
        <v>0.36</v>
      </c>
      <c r="C29" s="50">
        <v>1.2</v>
      </c>
      <c r="D29" s="50">
        <v>0.6</v>
      </c>
      <c r="E29" s="50">
        <v>7.46</v>
      </c>
      <c r="F29" s="50">
        <v>2030.0162399999999</v>
      </c>
      <c r="G29" s="50">
        <v>22.389610000000001</v>
      </c>
      <c r="H29" s="50">
        <v>1140.3071299999999</v>
      </c>
      <c r="I29" s="50">
        <v>7.7</v>
      </c>
      <c r="J29" s="50">
        <v>1142.2051299999998</v>
      </c>
      <c r="K29" s="50">
        <v>153.2525</v>
      </c>
      <c r="L29" s="50">
        <v>1145.3861299999999</v>
      </c>
      <c r="M29" s="50">
        <v>7.8</v>
      </c>
      <c r="N29" s="50">
        <v>1960.7953200000002</v>
      </c>
      <c r="O29" s="50">
        <v>31.75337</v>
      </c>
      <c r="P29" s="50">
        <v>1961.5453200000002</v>
      </c>
      <c r="Q29" s="50">
        <v>33.70337</v>
      </c>
      <c r="R29" s="50">
        <v>1962.01532</v>
      </c>
      <c r="S29" s="50">
        <v>44.238010000000003</v>
      </c>
      <c r="T29" s="50">
        <v>2802.5363199999997</v>
      </c>
      <c r="U29" s="50">
        <v>44.238010000000003</v>
      </c>
      <c r="V29" s="50">
        <v>3008.4646600000001</v>
      </c>
      <c r="W29" s="50">
        <v>67.619190000000003</v>
      </c>
      <c r="X29" s="50">
        <v>3009.10266</v>
      </c>
      <c r="Y29" s="50">
        <v>94.992399999999989</v>
      </c>
      <c r="Z29" s="50">
        <v>285.27382</v>
      </c>
      <c r="AA29" s="50">
        <v>79.860869999999991</v>
      </c>
      <c r="AB29" s="50">
        <v>540.30667000000005</v>
      </c>
      <c r="AC29" s="50">
        <v>86.647089999999992</v>
      </c>
      <c r="AD29" s="50">
        <v>540.47867000000008</v>
      </c>
      <c r="AE29" s="50">
        <v>105.01924000000001</v>
      </c>
      <c r="AF29" s="50">
        <v>884.57386999999994</v>
      </c>
      <c r="AG29" s="50">
        <v>137.67565999999999</v>
      </c>
      <c r="AH29" s="50">
        <v>947.39986999999996</v>
      </c>
      <c r="AI29" s="50">
        <v>218.56246999999999</v>
      </c>
      <c r="AJ29" s="50">
        <v>1072.7980700000001</v>
      </c>
      <c r="AK29" s="50">
        <v>227</v>
      </c>
      <c r="AL29" s="50">
        <v>1155.1073799999999</v>
      </c>
      <c r="AM29" s="50">
        <v>256.41818000000001</v>
      </c>
      <c r="AN29" s="50">
        <v>1358.12193</v>
      </c>
      <c r="AO29" s="50">
        <v>306.54383000000001</v>
      </c>
      <c r="AP29" s="50">
        <v>1358.82393</v>
      </c>
      <c r="AQ29" s="50">
        <v>366.55383</v>
      </c>
      <c r="AR29" s="50">
        <v>1770.5154299999999</v>
      </c>
      <c r="AS29" s="50">
        <v>534.60028</v>
      </c>
      <c r="AT29" s="50">
        <v>1922.51593</v>
      </c>
      <c r="AU29" s="50">
        <v>551.15508</v>
      </c>
      <c r="AV29" s="50">
        <v>2040.30018</v>
      </c>
      <c r="AW29" s="50">
        <v>574.74381999999991</v>
      </c>
      <c r="AX29" s="50">
        <v>116.78792</v>
      </c>
      <c r="AY29" s="50">
        <v>62.069949999999999</v>
      </c>
      <c r="AZ29" s="50">
        <v>116.80110999999999</v>
      </c>
      <c r="BA29" s="50">
        <v>151.82388</v>
      </c>
      <c r="BB29" s="50">
        <v>205.79955999999999</v>
      </c>
      <c r="BC29" s="50">
        <v>173.54787999999999</v>
      </c>
      <c r="BD29" s="50">
        <v>429.93503999999996</v>
      </c>
      <c r="BE29" s="50">
        <v>301.67829999999998</v>
      </c>
      <c r="BF29" s="50">
        <v>481.44457</v>
      </c>
      <c r="BG29" s="50">
        <v>410.48333000000002</v>
      </c>
      <c r="BH29" s="50">
        <v>509.43734999999998</v>
      </c>
      <c r="BI29" s="50">
        <v>504.54572999999999</v>
      </c>
      <c r="BJ29" s="50">
        <v>736.6327</v>
      </c>
      <c r="BK29" s="50">
        <v>594.35123999999996</v>
      </c>
      <c r="BL29" s="50">
        <v>890.08599000000004</v>
      </c>
      <c r="BM29" s="50">
        <v>607.80306000000007</v>
      </c>
      <c r="BN29" s="50">
        <v>939.80906000000004</v>
      </c>
      <c r="BO29" s="50">
        <v>673.34256999999991</v>
      </c>
      <c r="BP29" s="50">
        <v>1131.7423999999999</v>
      </c>
      <c r="BQ29" s="50">
        <v>767.99870999999996</v>
      </c>
      <c r="BR29" s="50">
        <v>1272.76929</v>
      </c>
      <c r="BS29" s="50">
        <v>793.21303</v>
      </c>
      <c r="BT29" s="50">
        <v>1438.7856499999998</v>
      </c>
      <c r="BU29" s="50">
        <v>936.72053000000005</v>
      </c>
      <c r="BV29" s="50">
        <v>118.85308999999999</v>
      </c>
      <c r="BW29" s="50">
        <v>21.300669999999997</v>
      </c>
      <c r="BX29" s="50">
        <v>367.26231999999999</v>
      </c>
      <c r="BY29" s="50">
        <v>136.83443</v>
      </c>
      <c r="BZ29" s="50">
        <v>673.45706999999993</v>
      </c>
      <c r="CA29" s="50">
        <v>153.11485000000002</v>
      </c>
      <c r="CB29" s="50">
        <v>1119.2323700000002</v>
      </c>
      <c r="CC29" s="50">
        <v>188.30685</v>
      </c>
      <c r="CD29" s="50">
        <v>1289.7655199999999</v>
      </c>
      <c r="CE29" s="50">
        <v>203.8048</v>
      </c>
      <c r="CF29" s="50">
        <v>1619.1973600000001</v>
      </c>
      <c r="CG29" s="50">
        <v>259.75006999999999</v>
      </c>
      <c r="CH29" s="50">
        <v>1680.2640100000001</v>
      </c>
      <c r="CI29" s="50">
        <v>315.57231999999999</v>
      </c>
      <c r="CJ29" s="50">
        <v>1913.79468</v>
      </c>
      <c r="CK29" s="50">
        <v>386.28421000000003</v>
      </c>
      <c r="CL29" s="50">
        <v>2037.2805900000001</v>
      </c>
      <c r="CM29" s="50">
        <v>454.59735999999998</v>
      </c>
      <c r="CN29" s="50">
        <v>2259.7385800000002</v>
      </c>
      <c r="CO29" s="50">
        <v>547.14445000000001</v>
      </c>
      <c r="CP29" s="50">
        <v>2674.1125000000002</v>
      </c>
      <c r="CQ29" s="50">
        <v>582.99904000000004</v>
      </c>
      <c r="CR29" s="50">
        <v>2841.9871600000001</v>
      </c>
      <c r="CS29" s="50">
        <v>612.96043000000009</v>
      </c>
      <c r="CT29" s="50">
        <v>208.86651999999998</v>
      </c>
      <c r="CU29" s="50">
        <v>37.141930000000002</v>
      </c>
      <c r="CV29" s="50">
        <v>316.50261</v>
      </c>
      <c r="CW29" s="50">
        <v>67.756439999999998</v>
      </c>
      <c r="CX29" s="50">
        <v>743.58100000000002</v>
      </c>
      <c r="CY29" s="50">
        <v>182.91766000000001</v>
      </c>
      <c r="CZ29" s="50">
        <v>1083.8000400000001</v>
      </c>
      <c r="DA29" s="50">
        <v>200.35478000000001</v>
      </c>
      <c r="DB29" s="50">
        <v>1359.7980299999999</v>
      </c>
      <c r="DC29" s="50">
        <v>205.26174</v>
      </c>
      <c r="DD29" s="50">
        <v>1726.14013</v>
      </c>
      <c r="DE29" s="50">
        <v>249.20351000000002</v>
      </c>
      <c r="DF29" s="50">
        <v>2720.07159</v>
      </c>
      <c r="DG29" s="50">
        <v>255.29851000000002</v>
      </c>
      <c r="DH29" s="50">
        <v>3686.4171200000001</v>
      </c>
      <c r="DI29" s="50">
        <v>302.21138000000002</v>
      </c>
      <c r="DJ29" s="50">
        <v>4193.7051200000005</v>
      </c>
      <c r="DK29" s="50">
        <v>369.60694000000001</v>
      </c>
      <c r="DL29" s="50">
        <v>4923.2388000000001</v>
      </c>
      <c r="DM29" s="50">
        <v>421.58395000000002</v>
      </c>
      <c r="DN29" s="50">
        <v>5687.3663699999997</v>
      </c>
      <c r="DO29" s="50">
        <v>507.24815999999998</v>
      </c>
      <c r="DP29" s="50">
        <v>6408.00504</v>
      </c>
      <c r="DQ29" s="51">
        <v>574.63634999999999</v>
      </c>
      <c r="DR29" s="52">
        <v>283.71485000000001</v>
      </c>
      <c r="DS29" s="53">
        <v>39.827100000000002</v>
      </c>
      <c r="DT29" s="54">
        <v>683.70943</v>
      </c>
      <c r="DU29" s="51">
        <v>93.164100000000005</v>
      </c>
      <c r="DV29" s="52">
        <v>1232.94982</v>
      </c>
      <c r="DW29" s="53">
        <v>148.62707</v>
      </c>
      <c r="DX29" s="54">
        <v>1388.6489999999999</v>
      </c>
      <c r="DY29" s="51">
        <v>191.73379</v>
      </c>
      <c r="DZ29" s="52">
        <v>1579.09349</v>
      </c>
      <c r="EA29" s="53">
        <v>253.02848</v>
      </c>
      <c r="EB29" s="54">
        <v>1716.3902499999999</v>
      </c>
      <c r="EC29" s="51">
        <v>291.45256000000001</v>
      </c>
      <c r="ED29" s="52">
        <v>2122.9057400000002</v>
      </c>
      <c r="EE29" s="53">
        <v>309.28185999999999</v>
      </c>
      <c r="EF29" s="52">
        <v>2410.8784599999999</v>
      </c>
      <c r="EG29" s="53">
        <v>360.55617999999998</v>
      </c>
      <c r="EH29" s="54">
        <v>2569.4391700000001</v>
      </c>
      <c r="EI29" s="53">
        <v>616.85563000000002</v>
      </c>
      <c r="EJ29" s="54">
        <v>2732.8743300000001</v>
      </c>
      <c r="EK29" s="53">
        <v>775.71614</v>
      </c>
      <c r="EL29" s="52">
        <v>3123.8772100000001</v>
      </c>
      <c r="EM29" s="55">
        <v>913.83430999999996</v>
      </c>
      <c r="EN29" s="52">
        <v>5598.0770700000003</v>
      </c>
      <c r="EO29" s="55">
        <v>1085.3997899999999</v>
      </c>
      <c r="EP29" s="52">
        <v>112.21594</v>
      </c>
      <c r="EQ29" s="55">
        <v>71.50421</v>
      </c>
      <c r="ER29" s="52">
        <v>205.07485999999997</v>
      </c>
      <c r="ES29" s="55">
        <v>245.45148</v>
      </c>
      <c r="ET29" s="52">
        <v>397.09570000000002</v>
      </c>
      <c r="EU29" s="55">
        <v>305.62943999999999</v>
      </c>
      <c r="EV29" s="52">
        <v>1307.1010799999999</v>
      </c>
      <c r="EW29" s="55">
        <v>402.44662</v>
      </c>
      <c r="EX29" s="52">
        <v>2001.52802</v>
      </c>
      <c r="EY29" s="55">
        <v>463.89544000000001</v>
      </c>
      <c r="EZ29" s="52">
        <v>2235.5152000000003</v>
      </c>
      <c r="FA29" s="55">
        <v>558.78181999999993</v>
      </c>
      <c r="FB29" s="52">
        <v>2609.5114800000001</v>
      </c>
      <c r="FC29" s="55">
        <v>650.78770999999995</v>
      </c>
      <c r="FD29" s="52">
        <v>2671.0022600000002</v>
      </c>
      <c r="FE29" s="55">
        <v>668.40700000000004</v>
      </c>
      <c r="FF29" s="52">
        <v>2954.0456200000003</v>
      </c>
      <c r="FG29" s="55">
        <v>792.95816000000002</v>
      </c>
      <c r="FH29" s="52">
        <v>3085.4333000000001</v>
      </c>
      <c r="FI29" s="55">
        <v>792.95816000000002</v>
      </c>
      <c r="FJ29" s="52">
        <v>3408.7374399999999</v>
      </c>
      <c r="FK29" s="55">
        <v>866.6934</v>
      </c>
      <c r="FL29" s="52">
        <v>3951.1748700000003</v>
      </c>
      <c r="FM29" s="55">
        <v>1079.7946399999998</v>
      </c>
      <c r="FN29" s="52">
        <v>302.47415999999998</v>
      </c>
      <c r="FO29" s="55">
        <v>104.01584</v>
      </c>
      <c r="FP29" s="52">
        <v>410.75997999999998</v>
      </c>
      <c r="FQ29" s="55">
        <v>358.85166999999996</v>
      </c>
      <c r="FR29" s="52">
        <v>625.23392000000001</v>
      </c>
      <c r="FS29" s="55">
        <v>358.85167000000001</v>
      </c>
      <c r="FT29" s="52">
        <v>684.90827999999999</v>
      </c>
      <c r="FU29" s="55">
        <v>532.64362000000006</v>
      </c>
      <c r="FV29" s="52">
        <v>765.56452000000002</v>
      </c>
      <c r="FW29" s="55">
        <v>623.91483000000005</v>
      </c>
      <c r="FX29" s="52">
        <v>1108.6178500000001</v>
      </c>
      <c r="FY29" s="55">
        <v>693.58804999999995</v>
      </c>
      <c r="FZ29" s="52">
        <v>1212.99659</v>
      </c>
      <c r="GA29" s="55">
        <v>752.16007999999999</v>
      </c>
      <c r="GB29" s="52">
        <v>1391.2744700000001</v>
      </c>
      <c r="GC29" s="55">
        <v>872.35941000000003</v>
      </c>
      <c r="GD29" s="52">
        <v>1569.00927</v>
      </c>
      <c r="GE29" s="55">
        <v>1016.39044</v>
      </c>
      <c r="GF29" s="52">
        <v>1737.1192699999999</v>
      </c>
      <c r="GG29" s="55">
        <v>1055.02991</v>
      </c>
      <c r="GH29" s="52">
        <v>2051.4572699999999</v>
      </c>
      <c r="GI29" s="55">
        <v>1131.6109100000001</v>
      </c>
      <c r="GJ29" s="52">
        <v>2103.8168700000001</v>
      </c>
      <c r="GK29" s="55">
        <v>1330.6795099999999</v>
      </c>
      <c r="GL29" s="52">
        <v>102.38933</v>
      </c>
      <c r="GM29" s="55">
        <v>34.511589999999998</v>
      </c>
      <c r="GN29" s="52">
        <v>202.38927000000001</v>
      </c>
      <c r="GO29" s="55">
        <v>69.48</v>
      </c>
      <c r="GP29" s="52">
        <v>251.78013000000001</v>
      </c>
      <c r="GQ29" s="55">
        <v>95.784000000000006</v>
      </c>
      <c r="GR29" s="52">
        <v>593.94781</v>
      </c>
      <c r="GS29" s="55">
        <v>201.50335999999999</v>
      </c>
      <c r="GT29" s="52">
        <v>1224.28631</v>
      </c>
      <c r="GU29" s="55">
        <v>270.27569999999997</v>
      </c>
      <c r="GV29" s="52">
        <v>1973.9259</v>
      </c>
      <c r="GW29" s="55">
        <v>318.07933000000003</v>
      </c>
      <c r="GX29" s="52">
        <v>2146.1145200000001</v>
      </c>
      <c r="GY29" s="55">
        <v>340.44364999999999</v>
      </c>
      <c r="GZ29" s="52">
        <v>3499.25099</v>
      </c>
      <c r="HA29" s="55">
        <v>388.25497000000001</v>
      </c>
      <c r="HB29" s="52">
        <v>3612.9959899999999</v>
      </c>
      <c r="HC29" s="55">
        <v>418.61297000000002</v>
      </c>
      <c r="HD29" s="52">
        <v>3908.8449900000001</v>
      </c>
      <c r="HE29" s="55">
        <v>429.01177000000001</v>
      </c>
      <c r="HF29" s="52">
        <v>3914.7459899999999</v>
      </c>
      <c r="HG29" s="55">
        <v>445.86277000000001</v>
      </c>
      <c r="HH29" s="52">
        <v>4724.61499</v>
      </c>
      <c r="HI29" s="55">
        <v>557.77626999999995</v>
      </c>
      <c r="HJ29" s="52">
        <v>7.6260000000000003</v>
      </c>
      <c r="HK29" s="55">
        <v>50.335999999999999</v>
      </c>
      <c r="HL29" s="52">
        <v>490.49</v>
      </c>
      <c r="HM29" s="55">
        <v>89.527640000000005</v>
      </c>
      <c r="HN29" s="52">
        <v>1211.6289999999999</v>
      </c>
      <c r="HO29" s="55">
        <v>134.45203000000001</v>
      </c>
      <c r="HP29" s="52">
        <v>1749.3240000000001</v>
      </c>
      <c r="HQ29" s="55">
        <v>147.32302999999999</v>
      </c>
      <c r="HR29" s="52">
        <v>2978.2370000000001</v>
      </c>
      <c r="HS29" s="55">
        <v>169.49703</v>
      </c>
      <c r="HT29" s="52">
        <v>4349.41</v>
      </c>
      <c r="HU29" s="55">
        <v>318.08003000000002</v>
      </c>
      <c r="HV29" s="52">
        <v>4994.8609999999999</v>
      </c>
      <c r="HW29" s="55">
        <v>888.54674</v>
      </c>
      <c r="HX29" s="52">
        <v>6711.1040000000003</v>
      </c>
      <c r="HY29" s="55">
        <v>1373.9057399999999</v>
      </c>
      <c r="HZ29" s="52">
        <v>7760.5789999999997</v>
      </c>
      <c r="IA29" s="55">
        <v>1438.6465599999999</v>
      </c>
      <c r="IB29" s="16" t="s">
        <v>60</v>
      </c>
      <c r="ID29" s="81"/>
    </row>
    <row r="30" spans="1:238" s="9" customFormat="1" ht="22.5" customHeight="1" x14ac:dyDescent="0.4">
      <c r="A30" s="15" t="s">
        <v>61</v>
      </c>
      <c r="B30" s="50">
        <v>1716.6447599999999</v>
      </c>
      <c r="C30" s="50">
        <v>0</v>
      </c>
      <c r="D30" s="50">
        <v>2933.1362300000001</v>
      </c>
      <c r="E30" s="50">
        <v>0</v>
      </c>
      <c r="F30" s="50">
        <v>2997.12509</v>
      </c>
      <c r="G30" s="50">
        <v>0</v>
      </c>
      <c r="H30" s="50">
        <v>4041.0931499999997</v>
      </c>
      <c r="I30" s="50">
        <v>0</v>
      </c>
      <c r="J30" s="50">
        <v>4368.2246799999994</v>
      </c>
      <c r="K30" s="50">
        <v>0</v>
      </c>
      <c r="L30" s="50">
        <v>5722.9997599999997</v>
      </c>
      <c r="M30" s="50">
        <v>0</v>
      </c>
      <c r="N30" s="50">
        <v>5776.0270799999998</v>
      </c>
      <c r="O30" s="50">
        <v>0</v>
      </c>
      <c r="P30" s="50">
        <v>6286.9747600000001</v>
      </c>
      <c r="Q30" s="50">
        <v>0</v>
      </c>
      <c r="R30" s="50">
        <v>7087.3877000000002</v>
      </c>
      <c r="S30" s="50">
        <v>0</v>
      </c>
      <c r="T30" s="50">
        <v>7228.0081900000005</v>
      </c>
      <c r="U30" s="50">
        <v>0</v>
      </c>
      <c r="V30" s="50">
        <v>7497.7897400000002</v>
      </c>
      <c r="W30" s="50">
        <v>0</v>
      </c>
      <c r="X30" s="50">
        <v>7595.5167599999995</v>
      </c>
      <c r="Y30" s="50">
        <v>0</v>
      </c>
      <c r="Z30" s="50">
        <v>226.05382</v>
      </c>
      <c r="AA30" s="50">
        <v>0</v>
      </c>
      <c r="AB30" s="50">
        <v>1562.18019</v>
      </c>
      <c r="AC30" s="50">
        <v>0</v>
      </c>
      <c r="AD30" s="50">
        <v>1823.90156</v>
      </c>
      <c r="AE30" s="50">
        <v>0</v>
      </c>
      <c r="AF30" s="50">
        <v>1828.6601599999999</v>
      </c>
      <c r="AG30" s="50">
        <v>0</v>
      </c>
      <c r="AH30" s="50">
        <v>2849.9023099999999</v>
      </c>
      <c r="AI30" s="50">
        <v>0</v>
      </c>
      <c r="AJ30" s="50">
        <v>3814.9195099999997</v>
      </c>
      <c r="AK30" s="50">
        <v>612.14449999999999</v>
      </c>
      <c r="AL30" s="50">
        <v>4813.3088699999998</v>
      </c>
      <c r="AM30" s="50">
        <v>612.14449999999999</v>
      </c>
      <c r="AN30" s="50">
        <v>5109.3768</v>
      </c>
      <c r="AO30" s="50">
        <v>612.14449999999999</v>
      </c>
      <c r="AP30" s="50">
        <v>5831.6918599999999</v>
      </c>
      <c r="AQ30" s="50">
        <v>612.14449999999999</v>
      </c>
      <c r="AR30" s="50">
        <v>6054.0389400000004</v>
      </c>
      <c r="AS30" s="50">
        <v>612.14449999999999</v>
      </c>
      <c r="AT30" s="50">
        <v>6216.6289800000004</v>
      </c>
      <c r="AU30" s="50">
        <v>612.14449999999999</v>
      </c>
      <c r="AV30" s="50">
        <v>6278.0457200000001</v>
      </c>
      <c r="AW30" s="50">
        <v>612.14449999999999</v>
      </c>
      <c r="AX30" s="50">
        <v>318.68525</v>
      </c>
      <c r="AY30" s="50">
        <v>0</v>
      </c>
      <c r="AZ30" s="50">
        <v>2159.8143599999999</v>
      </c>
      <c r="BA30" s="50">
        <v>0</v>
      </c>
      <c r="BB30" s="50">
        <v>2230.49161</v>
      </c>
      <c r="BC30" s="50">
        <v>0</v>
      </c>
      <c r="BD30" s="50">
        <v>2672.75828</v>
      </c>
      <c r="BE30" s="50">
        <v>0</v>
      </c>
      <c r="BF30" s="50">
        <v>3445.03089</v>
      </c>
      <c r="BG30" s="50">
        <v>0</v>
      </c>
      <c r="BH30" s="50">
        <v>4656.5165199999992</v>
      </c>
      <c r="BI30" s="50">
        <v>864.77897999999993</v>
      </c>
      <c r="BJ30" s="50">
        <v>4950.7496900000006</v>
      </c>
      <c r="BK30" s="50">
        <v>864.77897999999993</v>
      </c>
      <c r="BL30" s="50">
        <v>6037.4538700000003</v>
      </c>
      <c r="BM30" s="50">
        <v>864.77897999999993</v>
      </c>
      <c r="BN30" s="50">
        <v>7546.3197699999992</v>
      </c>
      <c r="BO30" s="50">
        <v>864.77897999999993</v>
      </c>
      <c r="BP30" s="50">
        <v>7721.55717</v>
      </c>
      <c r="BQ30" s="50">
        <v>864.77897999999993</v>
      </c>
      <c r="BR30" s="50">
        <v>7771.2013699999998</v>
      </c>
      <c r="BS30" s="50">
        <v>864.77897999999993</v>
      </c>
      <c r="BT30" s="50">
        <v>7916.2648899999995</v>
      </c>
      <c r="BU30" s="50">
        <v>912.15797999999995</v>
      </c>
      <c r="BV30" s="50">
        <v>1554.3306</v>
      </c>
      <c r="BW30" s="50">
        <v>0</v>
      </c>
      <c r="BX30" s="50">
        <v>1809.8106</v>
      </c>
      <c r="BY30" s="50">
        <v>0</v>
      </c>
      <c r="BZ30" s="50">
        <v>2034.6556</v>
      </c>
      <c r="CA30" s="50">
        <v>0</v>
      </c>
      <c r="CB30" s="50">
        <v>2521.8819399999998</v>
      </c>
      <c r="CC30" s="50">
        <v>0</v>
      </c>
      <c r="CD30" s="50">
        <v>2847.86922</v>
      </c>
      <c r="CE30" s="50">
        <v>209.43191000000002</v>
      </c>
      <c r="CF30" s="50">
        <v>3201.3701800000003</v>
      </c>
      <c r="CG30" s="50">
        <v>209.43191000000002</v>
      </c>
      <c r="CH30" s="50">
        <v>4480.95568</v>
      </c>
      <c r="CI30" s="50">
        <v>209.43191000000002</v>
      </c>
      <c r="CJ30" s="50">
        <v>6536.7949200000003</v>
      </c>
      <c r="CK30" s="50">
        <v>209.43191000000002</v>
      </c>
      <c r="CL30" s="50">
        <v>7923.6218600000002</v>
      </c>
      <c r="CM30" s="50">
        <v>209.43191000000002</v>
      </c>
      <c r="CN30" s="50">
        <v>7946.3168599999999</v>
      </c>
      <c r="CO30" s="50">
        <v>209.43191000000002</v>
      </c>
      <c r="CP30" s="50">
        <v>7759.0219800000004</v>
      </c>
      <c r="CQ30" s="50">
        <v>209.43191000000002</v>
      </c>
      <c r="CR30" s="50">
        <v>7784.4913799999995</v>
      </c>
      <c r="CS30" s="50">
        <v>209.43191000000002</v>
      </c>
      <c r="CT30" s="50">
        <v>140.49020000000002</v>
      </c>
      <c r="CU30" s="50">
        <v>0</v>
      </c>
      <c r="CV30" s="50">
        <v>1890.10663</v>
      </c>
      <c r="CW30" s="50">
        <v>0</v>
      </c>
      <c r="CX30" s="50">
        <v>2551.9983900000002</v>
      </c>
      <c r="CY30" s="50">
        <v>0</v>
      </c>
      <c r="CZ30" s="50">
        <v>2551.9983900000002</v>
      </c>
      <c r="DA30" s="50">
        <v>0</v>
      </c>
      <c r="DB30" s="50">
        <v>2784.1668</v>
      </c>
      <c r="DC30" s="50">
        <v>0</v>
      </c>
      <c r="DD30" s="50">
        <v>3249.3090000000002</v>
      </c>
      <c r="DE30" s="50">
        <v>0</v>
      </c>
      <c r="DF30" s="50">
        <v>4266.8199599999998</v>
      </c>
      <c r="DG30" s="50">
        <v>0</v>
      </c>
      <c r="DH30" s="50">
        <v>4308.5929400000005</v>
      </c>
      <c r="DI30" s="50">
        <v>0</v>
      </c>
      <c r="DJ30" s="50">
        <v>4352.3471200000004</v>
      </c>
      <c r="DK30" s="50">
        <v>0</v>
      </c>
      <c r="DL30" s="50">
        <v>4422.2294199999997</v>
      </c>
      <c r="DM30" s="50">
        <v>0</v>
      </c>
      <c r="DN30" s="50">
        <v>5835.9769399999996</v>
      </c>
      <c r="DO30" s="50">
        <v>0</v>
      </c>
      <c r="DP30" s="50">
        <v>5298.7008999999998</v>
      </c>
      <c r="DQ30" s="51">
        <v>0</v>
      </c>
      <c r="DR30" s="52">
        <v>1687.96613</v>
      </c>
      <c r="DS30" s="53">
        <v>0</v>
      </c>
      <c r="DT30" s="54">
        <v>2112.5030000000002</v>
      </c>
      <c r="DU30" s="51">
        <v>0</v>
      </c>
      <c r="DV30" s="52">
        <v>2322.17553</v>
      </c>
      <c r="DW30" s="53">
        <v>0</v>
      </c>
      <c r="DX30" s="54">
        <v>2601.6181900000001</v>
      </c>
      <c r="DY30" s="51">
        <v>0</v>
      </c>
      <c r="DZ30" s="52">
        <v>2594.30224</v>
      </c>
      <c r="EA30" s="53">
        <v>0</v>
      </c>
      <c r="EB30" s="54">
        <v>2843.12608</v>
      </c>
      <c r="EC30" s="51">
        <v>0</v>
      </c>
      <c r="ED30" s="52">
        <v>3373.75992</v>
      </c>
      <c r="EE30" s="53">
        <v>0</v>
      </c>
      <c r="EF30" s="52">
        <v>4202.3198000000002</v>
      </c>
      <c r="EG30" s="53">
        <v>0</v>
      </c>
      <c r="EH30" s="54">
        <v>5271.9582399999999</v>
      </c>
      <c r="EI30" s="53">
        <v>0</v>
      </c>
      <c r="EJ30" s="54">
        <v>5388.7128499999999</v>
      </c>
      <c r="EK30" s="53">
        <v>485.33152000000001</v>
      </c>
      <c r="EL30" s="52">
        <v>5472.2004500000003</v>
      </c>
      <c r="EM30" s="55">
        <v>485.33152000000001</v>
      </c>
      <c r="EN30" s="52">
        <v>6452.4794199999997</v>
      </c>
      <c r="EO30" s="55">
        <v>821.44885999999997</v>
      </c>
      <c r="EP30" s="59">
        <v>4.08</v>
      </c>
      <c r="EQ30" s="55">
        <v>0</v>
      </c>
      <c r="ER30" s="52">
        <v>1874.1916899999999</v>
      </c>
      <c r="ES30" s="55">
        <v>109.63167</v>
      </c>
      <c r="ET30" s="52">
        <v>2143.5436300000001</v>
      </c>
      <c r="EU30" s="55">
        <v>109.63167</v>
      </c>
      <c r="EV30" s="52">
        <v>2155.51503</v>
      </c>
      <c r="EW30" s="55">
        <v>109.63167</v>
      </c>
      <c r="EX30" s="52">
        <v>2225.6904500000001</v>
      </c>
      <c r="EY30" s="55">
        <v>109.63167</v>
      </c>
      <c r="EZ30" s="52">
        <v>3465.20084</v>
      </c>
      <c r="FA30" s="55">
        <v>109.63167</v>
      </c>
      <c r="FB30" s="52">
        <v>3476.1297599999998</v>
      </c>
      <c r="FC30" s="55">
        <v>109.63167</v>
      </c>
      <c r="FD30" s="52">
        <v>5911.4043799999999</v>
      </c>
      <c r="FE30" s="55">
        <v>109.63167</v>
      </c>
      <c r="FF30" s="52">
        <v>6240.8773099999999</v>
      </c>
      <c r="FG30" s="55">
        <v>109.63167</v>
      </c>
      <c r="FH30" s="52">
        <v>6246.8273099999997</v>
      </c>
      <c r="FI30" s="55">
        <v>109.63167</v>
      </c>
      <c r="FJ30" s="52">
        <v>7748.5812699999997</v>
      </c>
      <c r="FK30" s="55">
        <v>109.63167</v>
      </c>
      <c r="FL30" s="52">
        <v>7555.3485899999996</v>
      </c>
      <c r="FM30" s="55">
        <v>109.63167</v>
      </c>
      <c r="FN30" s="52">
        <v>18.790099999999999</v>
      </c>
      <c r="FO30" s="55">
        <v>0</v>
      </c>
      <c r="FP30" s="52">
        <v>2113.24919</v>
      </c>
      <c r="FQ30" s="55">
        <v>0</v>
      </c>
      <c r="FR30" s="52">
        <v>2149.20487</v>
      </c>
      <c r="FS30" s="55">
        <v>0</v>
      </c>
      <c r="FT30" s="52">
        <v>2212.7287700000002</v>
      </c>
      <c r="FU30" s="55">
        <v>0</v>
      </c>
      <c r="FV30" s="52">
        <v>2582.2803699999999</v>
      </c>
      <c r="FW30" s="55">
        <v>0</v>
      </c>
      <c r="FX30" s="52">
        <v>3147.7554300000002</v>
      </c>
      <c r="FY30" s="55">
        <v>8.5</v>
      </c>
      <c r="FZ30" s="52">
        <v>3147.7554300000002</v>
      </c>
      <c r="GA30" s="55">
        <v>8.5</v>
      </c>
      <c r="GB30" s="52">
        <v>4553.2021100000002</v>
      </c>
      <c r="GC30" s="55">
        <v>8.5</v>
      </c>
      <c r="GD30" s="52">
        <v>4565.0936099999999</v>
      </c>
      <c r="GE30" s="55">
        <v>8.5</v>
      </c>
      <c r="GF30" s="52">
        <v>4565.0936099999999</v>
      </c>
      <c r="GG30" s="55">
        <v>8.5</v>
      </c>
      <c r="GH30" s="52">
        <v>5026.4868699999997</v>
      </c>
      <c r="GI30" s="55">
        <v>8.5</v>
      </c>
      <c r="GJ30" s="52">
        <v>6480.0595800000001</v>
      </c>
      <c r="GK30" s="55">
        <v>1341.6541099999999</v>
      </c>
      <c r="GL30" s="52">
        <v>0</v>
      </c>
      <c r="GM30" s="55">
        <v>0</v>
      </c>
      <c r="GN30" s="52">
        <v>177.65</v>
      </c>
      <c r="GO30" s="55">
        <v>0</v>
      </c>
      <c r="GP30" s="52">
        <v>199.75</v>
      </c>
      <c r="GQ30" s="55">
        <v>0</v>
      </c>
      <c r="GR30" s="52">
        <v>199.75</v>
      </c>
      <c r="GS30" s="55">
        <v>0</v>
      </c>
      <c r="GT30" s="52">
        <v>347.44391000000002</v>
      </c>
      <c r="GU30" s="55">
        <v>0</v>
      </c>
      <c r="GV30" s="52">
        <v>347.44391000000002</v>
      </c>
      <c r="GW30" s="55">
        <v>0</v>
      </c>
      <c r="GX30" s="52">
        <v>908.44390999999996</v>
      </c>
      <c r="GY30" s="55">
        <v>0</v>
      </c>
      <c r="GZ30" s="52">
        <v>2072.7964200000001</v>
      </c>
      <c r="HA30" s="55">
        <v>0</v>
      </c>
      <c r="HB30" s="52">
        <v>2211.0368100000001</v>
      </c>
      <c r="HC30" s="55">
        <v>0</v>
      </c>
      <c r="HD30" s="52">
        <v>2211.0368100000001</v>
      </c>
      <c r="HE30" s="55">
        <v>0</v>
      </c>
      <c r="HF30" s="52">
        <v>2610.6489900000001</v>
      </c>
      <c r="HG30" s="55">
        <v>0</v>
      </c>
      <c r="HH30" s="52">
        <v>3279.3105099999998</v>
      </c>
      <c r="HI30" s="55">
        <v>0</v>
      </c>
      <c r="HJ30" s="52">
        <v>82.195319999999995</v>
      </c>
      <c r="HK30" s="55">
        <v>0</v>
      </c>
      <c r="HL30" s="52">
        <v>2438.1481199999998</v>
      </c>
      <c r="HM30" s="55">
        <v>0</v>
      </c>
      <c r="HN30" s="52">
        <v>2571.7866399999998</v>
      </c>
      <c r="HO30" s="55">
        <v>0</v>
      </c>
      <c r="HP30" s="52">
        <v>2610.8897400000001</v>
      </c>
      <c r="HQ30" s="55">
        <v>0</v>
      </c>
      <c r="HR30" s="52">
        <v>3372.3635199999999</v>
      </c>
      <c r="HS30" s="55">
        <v>0</v>
      </c>
      <c r="HT30" s="52">
        <v>4690.7599499999997</v>
      </c>
      <c r="HU30" s="55">
        <v>0</v>
      </c>
      <c r="HV30" s="52">
        <v>6113.6875799999998</v>
      </c>
      <c r="HW30" s="55">
        <v>0</v>
      </c>
      <c r="HX30" s="52">
        <v>6216.2313100000001</v>
      </c>
      <c r="HY30" s="55">
        <v>0</v>
      </c>
      <c r="HZ30" s="52">
        <v>7742.0895200000004</v>
      </c>
      <c r="IA30" s="55">
        <v>0</v>
      </c>
      <c r="IB30" s="16" t="s">
        <v>116</v>
      </c>
      <c r="ID30" s="81"/>
    </row>
    <row r="31" spans="1:238" s="9" customFormat="1" ht="22.5" customHeight="1" x14ac:dyDescent="0.4">
      <c r="A31" s="15" t="s">
        <v>62</v>
      </c>
      <c r="B31" s="50">
        <v>0</v>
      </c>
      <c r="C31" s="50">
        <v>0</v>
      </c>
      <c r="D31" s="50">
        <v>5.8</v>
      </c>
      <c r="E31" s="50">
        <v>0</v>
      </c>
      <c r="F31" s="50">
        <v>273.38163000000003</v>
      </c>
      <c r="G31" s="50">
        <v>0</v>
      </c>
      <c r="H31" s="50">
        <v>273.38163000000003</v>
      </c>
      <c r="I31" s="50">
        <v>0</v>
      </c>
      <c r="J31" s="50">
        <v>273.38163000000003</v>
      </c>
      <c r="K31" s="50">
        <v>0</v>
      </c>
      <c r="L31" s="50">
        <v>273.38163000000003</v>
      </c>
      <c r="M31" s="50">
        <v>0</v>
      </c>
      <c r="N31" s="50">
        <v>273.38163000000003</v>
      </c>
      <c r="O31" s="50">
        <v>0</v>
      </c>
      <c r="P31" s="50">
        <v>273.38163000000003</v>
      </c>
      <c r="Q31" s="50">
        <v>0</v>
      </c>
      <c r="R31" s="50">
        <v>273.38163000000003</v>
      </c>
      <c r="S31" s="50">
        <v>0</v>
      </c>
      <c r="T31" s="50">
        <v>273.38163000000003</v>
      </c>
      <c r="U31" s="50">
        <v>0</v>
      </c>
      <c r="V31" s="50">
        <v>273.38163000000003</v>
      </c>
      <c r="W31" s="50">
        <v>0</v>
      </c>
      <c r="X31" s="50">
        <v>310.5428</v>
      </c>
      <c r="Y31" s="50">
        <v>0</v>
      </c>
      <c r="Z31" s="50">
        <v>0.87551000000000001</v>
      </c>
      <c r="AA31" s="50">
        <v>0</v>
      </c>
      <c r="AB31" s="50">
        <v>121.72931</v>
      </c>
      <c r="AC31" s="50">
        <v>0</v>
      </c>
      <c r="AD31" s="50">
        <v>121.72931</v>
      </c>
      <c r="AE31" s="50">
        <v>0</v>
      </c>
      <c r="AF31" s="50">
        <v>92.109110000000001</v>
      </c>
      <c r="AG31" s="50">
        <v>0</v>
      </c>
      <c r="AH31" s="50">
        <v>92.109110000000001</v>
      </c>
      <c r="AI31" s="50">
        <v>0</v>
      </c>
      <c r="AJ31" s="50">
        <v>92.109110000000001</v>
      </c>
      <c r="AK31" s="50">
        <v>0</v>
      </c>
      <c r="AL31" s="50">
        <v>92.109110000000001</v>
      </c>
      <c r="AM31" s="50">
        <v>0</v>
      </c>
      <c r="AN31" s="50">
        <v>92.109110000000001</v>
      </c>
      <c r="AO31" s="50">
        <v>0</v>
      </c>
      <c r="AP31" s="50">
        <v>92.109110000000001</v>
      </c>
      <c r="AQ31" s="50">
        <v>0</v>
      </c>
      <c r="AR31" s="50">
        <v>92.109110000000001</v>
      </c>
      <c r="AS31" s="50">
        <v>0</v>
      </c>
      <c r="AT31" s="50">
        <v>92.108910000000009</v>
      </c>
      <c r="AU31" s="50">
        <v>0</v>
      </c>
      <c r="AV31" s="50">
        <v>106.55367</v>
      </c>
      <c r="AW31" s="50">
        <v>0</v>
      </c>
      <c r="AX31" s="50">
        <v>0</v>
      </c>
      <c r="AY31" s="50">
        <v>0</v>
      </c>
      <c r="AZ31" s="50">
        <v>0</v>
      </c>
      <c r="BA31" s="50">
        <v>0</v>
      </c>
      <c r="BB31" s="50">
        <v>25.406500000000001</v>
      </c>
      <c r="BC31" s="50">
        <v>0</v>
      </c>
      <c r="BD31" s="50">
        <v>52.7425</v>
      </c>
      <c r="BE31" s="50">
        <v>0</v>
      </c>
      <c r="BF31" s="50">
        <v>52.7425</v>
      </c>
      <c r="BG31" s="50">
        <v>0</v>
      </c>
      <c r="BH31" s="50">
        <v>75.000500000000002</v>
      </c>
      <c r="BI31" s="50">
        <v>0</v>
      </c>
      <c r="BJ31" s="50">
        <v>75.000500000000002</v>
      </c>
      <c r="BK31" s="50">
        <v>0</v>
      </c>
      <c r="BL31" s="50">
        <v>74.830500000000001</v>
      </c>
      <c r="BM31" s="50">
        <v>0</v>
      </c>
      <c r="BN31" s="50">
        <v>74.830500000000001</v>
      </c>
      <c r="BO31" s="50">
        <v>0</v>
      </c>
      <c r="BP31" s="50">
        <v>47.494500000000002</v>
      </c>
      <c r="BQ31" s="50">
        <v>0</v>
      </c>
      <c r="BR31" s="50">
        <v>47.494500000000002</v>
      </c>
      <c r="BS31" s="50">
        <v>0</v>
      </c>
      <c r="BT31" s="50">
        <v>47.494500000000002</v>
      </c>
      <c r="BU31" s="50">
        <v>0</v>
      </c>
      <c r="BV31" s="50">
        <v>0</v>
      </c>
      <c r="BW31" s="50">
        <v>0</v>
      </c>
      <c r="BX31" s="50">
        <v>0</v>
      </c>
      <c r="BY31" s="50">
        <v>0</v>
      </c>
      <c r="BZ31" s="50">
        <v>0</v>
      </c>
      <c r="CA31" s="50">
        <v>0</v>
      </c>
      <c r="CB31" s="50">
        <v>36.119300000000003</v>
      </c>
      <c r="CC31" s="50">
        <v>0</v>
      </c>
      <c r="CD31" s="50">
        <v>36.119300000000003</v>
      </c>
      <c r="CE31" s="50">
        <v>0</v>
      </c>
      <c r="CF31" s="50">
        <v>36.119300000000003</v>
      </c>
      <c r="CG31" s="50">
        <v>0</v>
      </c>
      <c r="CH31" s="50">
        <v>36.119300000000003</v>
      </c>
      <c r="CI31" s="50">
        <v>0</v>
      </c>
      <c r="CJ31" s="50">
        <v>36.119300000000003</v>
      </c>
      <c r="CK31" s="50">
        <v>0</v>
      </c>
      <c r="CL31" s="50">
        <v>36.119300000000003</v>
      </c>
      <c r="CM31" s="50">
        <v>0</v>
      </c>
      <c r="CN31" s="50">
        <v>36.119300000000003</v>
      </c>
      <c r="CO31" s="50">
        <v>0</v>
      </c>
      <c r="CP31" s="50">
        <v>36.119300000000003</v>
      </c>
      <c r="CQ31" s="50">
        <v>0</v>
      </c>
      <c r="CR31" s="50">
        <v>36.119300000000003</v>
      </c>
      <c r="CS31" s="50">
        <v>0</v>
      </c>
      <c r="CT31" s="50">
        <v>15.888999999999999</v>
      </c>
      <c r="CU31" s="50">
        <v>0</v>
      </c>
      <c r="CV31" s="50">
        <v>15.888999999999999</v>
      </c>
      <c r="CW31" s="50">
        <v>0</v>
      </c>
      <c r="CX31" s="50">
        <v>15.888999999999999</v>
      </c>
      <c r="CY31" s="50">
        <v>0</v>
      </c>
      <c r="CZ31" s="50">
        <v>43.309199999999997</v>
      </c>
      <c r="DA31" s="50">
        <v>0</v>
      </c>
      <c r="DB31" s="50">
        <v>43.309199999999997</v>
      </c>
      <c r="DC31" s="50">
        <v>0</v>
      </c>
      <c r="DD31" s="50">
        <v>43.309199999999997</v>
      </c>
      <c r="DE31" s="50">
        <v>0</v>
      </c>
      <c r="DF31" s="50">
        <v>43.309199999999997</v>
      </c>
      <c r="DG31" s="50">
        <v>0</v>
      </c>
      <c r="DH31" s="50">
        <v>43.309199999999997</v>
      </c>
      <c r="DI31" s="50">
        <v>0</v>
      </c>
      <c r="DJ31" s="50">
        <v>43.309199999999997</v>
      </c>
      <c r="DK31" s="50">
        <v>0</v>
      </c>
      <c r="DL31" s="50">
        <v>72.8142</v>
      </c>
      <c r="DM31" s="50">
        <v>0</v>
      </c>
      <c r="DN31" s="50">
        <v>72.8142</v>
      </c>
      <c r="DO31" s="50">
        <v>0</v>
      </c>
      <c r="DP31" s="50">
        <v>72.8142</v>
      </c>
      <c r="DQ31" s="51">
        <v>0</v>
      </c>
      <c r="DR31" s="52">
        <v>15.888999999999999</v>
      </c>
      <c r="DS31" s="53">
        <v>0</v>
      </c>
      <c r="DT31" s="54">
        <v>15.888999999999999</v>
      </c>
      <c r="DU31" s="51">
        <v>0</v>
      </c>
      <c r="DV31" s="52">
        <v>15.888999999999999</v>
      </c>
      <c r="DW31" s="53">
        <v>0</v>
      </c>
      <c r="DX31" s="54">
        <v>34.496000000000002</v>
      </c>
      <c r="DY31" s="51">
        <v>0</v>
      </c>
      <c r="DZ31" s="52">
        <v>34.496000000000002</v>
      </c>
      <c r="EA31" s="53">
        <v>0</v>
      </c>
      <c r="EB31" s="54">
        <v>44.492190000000001</v>
      </c>
      <c r="EC31" s="51">
        <v>0</v>
      </c>
      <c r="ED31" s="52">
        <v>44.492190000000001</v>
      </c>
      <c r="EE31" s="53">
        <v>0</v>
      </c>
      <c r="EF31" s="52">
        <v>44.492190000000001</v>
      </c>
      <c r="EG31" s="53">
        <v>0</v>
      </c>
      <c r="EH31" s="54">
        <v>44.492190000000001</v>
      </c>
      <c r="EI31" s="53">
        <v>0</v>
      </c>
      <c r="EJ31" s="54">
        <v>72.521190000000004</v>
      </c>
      <c r="EK31" s="53">
        <v>0</v>
      </c>
      <c r="EL31" s="52">
        <v>72.521190000000004</v>
      </c>
      <c r="EM31" s="55">
        <v>0</v>
      </c>
      <c r="EN31" s="52">
        <v>72.521190000000004</v>
      </c>
      <c r="EO31" s="55">
        <v>0</v>
      </c>
      <c r="EP31" s="52">
        <v>15.888999999999999</v>
      </c>
      <c r="EQ31" s="55">
        <v>0</v>
      </c>
      <c r="ER31" s="52">
        <v>15.888999999999999</v>
      </c>
      <c r="ES31" s="55">
        <v>0</v>
      </c>
      <c r="ET31" s="52">
        <v>15.888999999999999</v>
      </c>
      <c r="EU31" s="55">
        <v>0</v>
      </c>
      <c r="EV31" s="52">
        <v>15.888999999999999</v>
      </c>
      <c r="EW31" s="55">
        <v>0</v>
      </c>
      <c r="EX31" s="52">
        <v>15.888999999999999</v>
      </c>
      <c r="EY31" s="55">
        <v>0</v>
      </c>
      <c r="EZ31" s="52">
        <v>32.507829999999998</v>
      </c>
      <c r="FA31" s="55">
        <v>0</v>
      </c>
      <c r="FB31" s="52">
        <v>32.507829999999998</v>
      </c>
      <c r="FC31" s="55">
        <v>0</v>
      </c>
      <c r="FD31" s="52">
        <v>32.507829999999998</v>
      </c>
      <c r="FE31" s="55">
        <v>0</v>
      </c>
      <c r="FF31" s="52">
        <v>32.507829999999998</v>
      </c>
      <c r="FG31" s="55">
        <v>0</v>
      </c>
      <c r="FH31" s="52">
        <v>60.536830000000002</v>
      </c>
      <c r="FI31" s="55">
        <v>0</v>
      </c>
      <c r="FJ31" s="52">
        <v>60.536830000000002</v>
      </c>
      <c r="FK31" s="55">
        <v>0</v>
      </c>
      <c r="FL31" s="52">
        <v>60.536830000000002</v>
      </c>
      <c r="FM31" s="55">
        <v>0</v>
      </c>
      <c r="FN31" s="52">
        <v>9.4</v>
      </c>
      <c r="FO31" s="55">
        <v>0</v>
      </c>
      <c r="FP31" s="52">
        <v>9.4</v>
      </c>
      <c r="FQ31" s="55">
        <v>0</v>
      </c>
      <c r="FR31" s="52">
        <v>23.750070000000001</v>
      </c>
      <c r="FS31" s="55">
        <v>0</v>
      </c>
      <c r="FT31" s="52">
        <v>37.911320000000003</v>
      </c>
      <c r="FU31" s="55">
        <v>0</v>
      </c>
      <c r="FV31" s="52">
        <v>37.911319999999996</v>
      </c>
      <c r="FW31" s="55">
        <v>0</v>
      </c>
      <c r="FX31" s="52">
        <v>49.781910000000003</v>
      </c>
      <c r="FY31" s="55">
        <v>0</v>
      </c>
      <c r="FZ31" s="52">
        <v>49.781910000000003</v>
      </c>
      <c r="GA31" s="55">
        <v>0</v>
      </c>
      <c r="GB31" s="52">
        <v>49.781910000000003</v>
      </c>
      <c r="GC31" s="55">
        <v>0</v>
      </c>
      <c r="GD31" s="52">
        <v>49.781910000000003</v>
      </c>
      <c r="GE31" s="55">
        <v>0</v>
      </c>
      <c r="GF31" s="52">
        <v>77.810910000000007</v>
      </c>
      <c r="GG31" s="55">
        <v>0</v>
      </c>
      <c r="GH31" s="52">
        <v>77.810910000000007</v>
      </c>
      <c r="GI31" s="55">
        <v>0</v>
      </c>
      <c r="GJ31" s="52">
        <v>77.810910000000007</v>
      </c>
      <c r="GK31" s="55">
        <v>0</v>
      </c>
      <c r="GL31" s="52">
        <v>7.7889999999999997</v>
      </c>
      <c r="GM31" s="55">
        <v>0</v>
      </c>
      <c r="GN31" s="52">
        <v>7.7889999999999997</v>
      </c>
      <c r="GO31" s="55">
        <v>0</v>
      </c>
      <c r="GP31" s="52">
        <v>21.550720000000002</v>
      </c>
      <c r="GQ31" s="55">
        <v>0</v>
      </c>
      <c r="GR31" s="52">
        <v>21.550719999999998</v>
      </c>
      <c r="GS31" s="55">
        <v>0</v>
      </c>
      <c r="GT31" s="52">
        <v>21.550719999999998</v>
      </c>
      <c r="GU31" s="55">
        <v>0</v>
      </c>
      <c r="GV31" s="52">
        <v>21.550719999999998</v>
      </c>
      <c r="GW31" s="55">
        <v>0</v>
      </c>
      <c r="GX31" s="52">
        <v>47.617379999999997</v>
      </c>
      <c r="GY31" s="55">
        <v>0</v>
      </c>
      <c r="GZ31" s="52">
        <v>47.617379999999997</v>
      </c>
      <c r="HA31" s="55">
        <v>0</v>
      </c>
      <c r="HB31" s="52">
        <v>47.617379999999997</v>
      </c>
      <c r="HC31" s="55">
        <v>0</v>
      </c>
      <c r="HD31" s="52">
        <v>47.617379999999997</v>
      </c>
      <c r="HE31" s="55">
        <v>0</v>
      </c>
      <c r="HF31" s="52">
        <v>47.617379999999997</v>
      </c>
      <c r="HG31" s="55">
        <v>0</v>
      </c>
      <c r="HH31" s="52">
        <v>77.117379999999997</v>
      </c>
      <c r="HI31" s="55">
        <v>0</v>
      </c>
      <c r="HJ31" s="52">
        <v>35.225659999999998</v>
      </c>
      <c r="HK31" s="55">
        <v>0</v>
      </c>
      <c r="HL31" s="52">
        <v>35.225659999999998</v>
      </c>
      <c r="HM31" s="55">
        <v>0</v>
      </c>
      <c r="HN31" s="52">
        <v>1305.2256600000001</v>
      </c>
      <c r="HO31" s="55">
        <v>0</v>
      </c>
      <c r="HP31" s="52">
        <v>1313.97066</v>
      </c>
      <c r="HQ31" s="55">
        <v>702.05402000000004</v>
      </c>
      <c r="HR31" s="52">
        <v>1313.97066</v>
      </c>
      <c r="HS31" s="55">
        <v>702.05402000000004</v>
      </c>
      <c r="HT31" s="52">
        <v>1313.97066</v>
      </c>
      <c r="HU31" s="55">
        <v>702.05402000000004</v>
      </c>
      <c r="HV31" s="52">
        <v>1315.1050499999999</v>
      </c>
      <c r="HW31" s="55">
        <v>702.05402000000004</v>
      </c>
      <c r="HX31" s="52">
        <v>1315.1050499999999</v>
      </c>
      <c r="HY31" s="55">
        <v>702.05402000000004</v>
      </c>
      <c r="HZ31" s="52">
        <v>1344.6050499999999</v>
      </c>
      <c r="IA31" s="55">
        <v>702.05402000000004</v>
      </c>
      <c r="IB31" s="16" t="s">
        <v>63</v>
      </c>
    </row>
    <row r="32" spans="1:238" s="9" customFormat="1" ht="22.5" customHeight="1" x14ac:dyDescent="0.4">
      <c r="A32" s="15" t="s">
        <v>64</v>
      </c>
      <c r="B32" s="50">
        <v>4.5549999999999997</v>
      </c>
      <c r="C32" s="50">
        <v>0</v>
      </c>
      <c r="D32" s="50">
        <v>8.4459999999999997</v>
      </c>
      <c r="E32" s="50">
        <v>236.20161999999999</v>
      </c>
      <c r="F32" s="50">
        <v>6.9480000000000004</v>
      </c>
      <c r="G32" s="50">
        <v>840.46882000000005</v>
      </c>
      <c r="H32" s="50">
        <v>7.5709999999999997</v>
      </c>
      <c r="I32" s="50">
        <v>840.46881999999994</v>
      </c>
      <c r="J32" s="50">
        <v>1057.29891</v>
      </c>
      <c r="K32" s="50">
        <v>846.12081999999998</v>
      </c>
      <c r="L32" s="50">
        <v>1324.1360099999999</v>
      </c>
      <c r="M32" s="50">
        <v>1405.3659599999999</v>
      </c>
      <c r="N32" s="50">
        <v>1341.3500100000001</v>
      </c>
      <c r="O32" s="50">
        <v>1405.3659599999999</v>
      </c>
      <c r="P32" s="50">
        <v>1324.1360099999999</v>
      </c>
      <c r="Q32" s="50">
        <v>1405.3659599999999</v>
      </c>
      <c r="R32" s="50">
        <v>1324.1360099999999</v>
      </c>
      <c r="S32" s="50">
        <v>1419.3659599999999</v>
      </c>
      <c r="T32" s="50">
        <v>1324.1360099999999</v>
      </c>
      <c r="U32" s="50">
        <v>1419.3659599999999</v>
      </c>
      <c r="V32" s="50">
        <v>1324.9440099999999</v>
      </c>
      <c r="W32" s="50">
        <v>1419.3659599999999</v>
      </c>
      <c r="X32" s="50">
        <v>1325.6790100000001</v>
      </c>
      <c r="Y32" s="50">
        <v>1419.3659599999999</v>
      </c>
      <c r="Z32" s="50">
        <v>0</v>
      </c>
      <c r="AA32" s="50">
        <v>0</v>
      </c>
      <c r="AB32" s="50">
        <v>6.444</v>
      </c>
      <c r="AC32" s="50">
        <v>64.37106</v>
      </c>
      <c r="AD32" s="50">
        <v>6.444</v>
      </c>
      <c r="AE32" s="50">
        <v>64.37106</v>
      </c>
      <c r="AF32" s="50">
        <v>31.853999999999999</v>
      </c>
      <c r="AG32" s="50">
        <v>64.37106</v>
      </c>
      <c r="AH32" s="50">
        <v>617.31925000000001</v>
      </c>
      <c r="AI32" s="50">
        <v>64.37106</v>
      </c>
      <c r="AJ32" s="50">
        <v>617.31925000000001</v>
      </c>
      <c r="AK32" s="50">
        <v>64.37106</v>
      </c>
      <c r="AL32" s="50">
        <v>617.31925000000001</v>
      </c>
      <c r="AM32" s="50">
        <v>64.37106</v>
      </c>
      <c r="AN32" s="50">
        <v>617.31925000000001</v>
      </c>
      <c r="AO32" s="50">
        <v>64.37106</v>
      </c>
      <c r="AP32" s="50">
        <v>630.64824999999996</v>
      </c>
      <c r="AQ32" s="50">
        <v>64.37106</v>
      </c>
      <c r="AR32" s="50">
        <v>633.78025000000002</v>
      </c>
      <c r="AS32" s="50">
        <v>64.37106</v>
      </c>
      <c r="AT32" s="50">
        <v>639.78724999999997</v>
      </c>
      <c r="AU32" s="50">
        <v>64.37106</v>
      </c>
      <c r="AV32" s="50">
        <v>639.78724999999997</v>
      </c>
      <c r="AW32" s="50">
        <v>180.25665000000001</v>
      </c>
      <c r="AX32" s="50">
        <v>0</v>
      </c>
      <c r="AY32" s="50">
        <v>0</v>
      </c>
      <c r="AZ32" s="50">
        <v>4.1059999999999999</v>
      </c>
      <c r="BA32" s="50">
        <v>0</v>
      </c>
      <c r="BB32" s="50">
        <v>4.1059999999999999</v>
      </c>
      <c r="BC32" s="50">
        <v>0</v>
      </c>
      <c r="BD32" s="50">
        <v>27.58</v>
      </c>
      <c r="BE32" s="50">
        <v>0</v>
      </c>
      <c r="BF32" s="50">
        <v>27.58</v>
      </c>
      <c r="BG32" s="50">
        <v>0</v>
      </c>
      <c r="BH32" s="50">
        <v>163.79485</v>
      </c>
      <c r="BI32" s="50">
        <v>0</v>
      </c>
      <c r="BJ32" s="50">
        <v>157.68185</v>
      </c>
      <c r="BK32" s="50">
        <v>0</v>
      </c>
      <c r="BL32" s="50">
        <v>157.68185</v>
      </c>
      <c r="BM32" s="50">
        <v>0</v>
      </c>
      <c r="BN32" s="50">
        <v>157.68185</v>
      </c>
      <c r="BO32" s="50">
        <v>0</v>
      </c>
      <c r="BP32" s="50">
        <v>167.68185</v>
      </c>
      <c r="BQ32" s="50">
        <v>0</v>
      </c>
      <c r="BR32" s="50">
        <v>168.78185000000002</v>
      </c>
      <c r="BS32" s="50">
        <v>0</v>
      </c>
      <c r="BT32" s="50">
        <v>183.78185000000002</v>
      </c>
      <c r="BU32" s="50">
        <v>0</v>
      </c>
      <c r="BV32" s="50">
        <v>0</v>
      </c>
      <c r="BW32" s="50">
        <v>0</v>
      </c>
      <c r="BX32" s="50">
        <v>0</v>
      </c>
      <c r="BY32" s="50">
        <v>0</v>
      </c>
      <c r="BZ32" s="50">
        <v>0</v>
      </c>
      <c r="CA32" s="50">
        <v>0</v>
      </c>
      <c r="CB32" s="50">
        <v>6.8419999999999996</v>
      </c>
      <c r="CC32" s="50">
        <v>0</v>
      </c>
      <c r="CD32" s="50">
        <v>6.8419999999999996</v>
      </c>
      <c r="CE32" s="50">
        <v>0</v>
      </c>
      <c r="CF32" s="50">
        <v>6.8419999999999996</v>
      </c>
      <c r="CG32" s="50">
        <v>0</v>
      </c>
      <c r="CH32" s="50">
        <v>6.8419999999999996</v>
      </c>
      <c r="CI32" s="50">
        <v>0</v>
      </c>
      <c r="CJ32" s="50">
        <v>6.8419999999999996</v>
      </c>
      <c r="CK32" s="50">
        <v>0</v>
      </c>
      <c r="CL32" s="50">
        <v>6.8419999999999996</v>
      </c>
      <c r="CM32" s="50">
        <v>0</v>
      </c>
      <c r="CN32" s="50">
        <v>6.8419999999999996</v>
      </c>
      <c r="CO32" s="50">
        <v>0</v>
      </c>
      <c r="CP32" s="50">
        <v>6.8419999999999996</v>
      </c>
      <c r="CQ32" s="50">
        <v>0</v>
      </c>
      <c r="CR32" s="50">
        <v>9.1567399999999992</v>
      </c>
      <c r="CS32" s="50">
        <v>0</v>
      </c>
      <c r="CT32" s="50">
        <v>0</v>
      </c>
      <c r="CU32" s="50">
        <v>0</v>
      </c>
      <c r="CV32" s="50">
        <v>0.69335999999999998</v>
      </c>
      <c r="CW32" s="50">
        <v>0</v>
      </c>
      <c r="CX32" s="50">
        <v>61.281120000000001</v>
      </c>
      <c r="CY32" s="50">
        <v>0</v>
      </c>
      <c r="CZ32" s="50">
        <v>392.01365999999996</v>
      </c>
      <c r="DA32" s="50">
        <v>0</v>
      </c>
      <c r="DB32" s="50">
        <v>408.28724</v>
      </c>
      <c r="DC32" s="50">
        <v>0</v>
      </c>
      <c r="DD32" s="50">
        <v>550.97993999999994</v>
      </c>
      <c r="DE32" s="50">
        <v>0</v>
      </c>
      <c r="DF32" s="50">
        <v>583.79175999999995</v>
      </c>
      <c r="DG32" s="50">
        <v>0</v>
      </c>
      <c r="DH32" s="50">
        <v>633.60518000000002</v>
      </c>
      <c r="DI32" s="50">
        <v>0</v>
      </c>
      <c r="DJ32" s="50">
        <v>638.08204000000001</v>
      </c>
      <c r="DK32" s="50">
        <v>3.78</v>
      </c>
      <c r="DL32" s="50">
        <v>695.11854000000005</v>
      </c>
      <c r="DM32" s="50">
        <v>3.78</v>
      </c>
      <c r="DN32" s="50">
        <v>825.25639999999999</v>
      </c>
      <c r="DO32" s="50">
        <v>3.78</v>
      </c>
      <c r="DP32" s="50">
        <v>6171.0005000000001</v>
      </c>
      <c r="DQ32" s="51">
        <v>28.731000000000002</v>
      </c>
      <c r="DR32" s="52">
        <v>1247.6387999999999</v>
      </c>
      <c r="DS32" s="53">
        <v>0</v>
      </c>
      <c r="DT32" s="54">
        <v>2146.4238</v>
      </c>
      <c r="DU32" s="51">
        <v>0</v>
      </c>
      <c r="DV32" s="52">
        <v>2374.9177399999999</v>
      </c>
      <c r="DW32" s="53">
        <v>0</v>
      </c>
      <c r="DX32" s="54">
        <v>2494.8991599999999</v>
      </c>
      <c r="DY32" s="51">
        <v>0</v>
      </c>
      <c r="DZ32" s="52">
        <v>3633.32</v>
      </c>
      <c r="EA32" s="53">
        <v>0</v>
      </c>
      <c r="EB32" s="54">
        <v>4207.0142999999998</v>
      </c>
      <c r="EC32" s="51">
        <v>0</v>
      </c>
      <c r="ED32" s="52">
        <v>4392.4564399999999</v>
      </c>
      <c r="EE32" s="53">
        <v>0</v>
      </c>
      <c r="EF32" s="52">
        <v>5312.7656999999999</v>
      </c>
      <c r="EG32" s="53">
        <v>53.60163</v>
      </c>
      <c r="EH32" s="54">
        <v>5485.7416000000003</v>
      </c>
      <c r="EI32" s="53">
        <v>220.11879999999999</v>
      </c>
      <c r="EJ32" s="54">
        <v>5539.1984400000001</v>
      </c>
      <c r="EK32" s="53">
        <v>718.41001000000006</v>
      </c>
      <c r="EL32" s="52">
        <v>5981.4286000000002</v>
      </c>
      <c r="EM32" s="55">
        <v>819.06777</v>
      </c>
      <c r="EN32" s="52">
        <v>9209.0169800000003</v>
      </c>
      <c r="EO32" s="55">
        <v>1679.6351099999999</v>
      </c>
      <c r="EP32" s="52">
        <v>8919.9886999999999</v>
      </c>
      <c r="EQ32" s="55">
        <v>131.2955</v>
      </c>
      <c r="ER32" s="52">
        <v>8880.7057800000002</v>
      </c>
      <c r="ES32" s="55">
        <v>348.40565000000004</v>
      </c>
      <c r="ET32" s="52">
        <v>9226.8184399999991</v>
      </c>
      <c r="EU32" s="55">
        <v>575.41726000000006</v>
      </c>
      <c r="EV32" s="52">
        <v>9304.8628000000008</v>
      </c>
      <c r="EW32" s="55">
        <v>683.98990000000003</v>
      </c>
      <c r="EX32" s="52">
        <v>10493.86916</v>
      </c>
      <c r="EY32" s="55">
        <v>741.26483999999994</v>
      </c>
      <c r="EZ32" s="52">
        <v>11001.036840000001</v>
      </c>
      <c r="FA32" s="55">
        <v>742.28678000000002</v>
      </c>
      <c r="FB32" s="52">
        <v>11085.4054</v>
      </c>
      <c r="FC32" s="55">
        <v>765.73739999999998</v>
      </c>
      <c r="FD32" s="52">
        <v>11125.08446</v>
      </c>
      <c r="FE32" s="55">
        <v>783.78743999999995</v>
      </c>
      <c r="FF32" s="52">
        <v>11776.136960000002</v>
      </c>
      <c r="FG32" s="55">
        <v>783.78743999999995</v>
      </c>
      <c r="FH32" s="52">
        <v>11777.467259999999</v>
      </c>
      <c r="FI32" s="55">
        <v>785.16907000000003</v>
      </c>
      <c r="FJ32" s="52">
        <v>11867.912039999999</v>
      </c>
      <c r="FK32" s="55">
        <v>2024.9900700000001</v>
      </c>
      <c r="FL32" s="52">
        <v>12943.339759999999</v>
      </c>
      <c r="FM32" s="55">
        <v>3494.7404900000001</v>
      </c>
      <c r="FN32" s="52">
        <v>6646.6128900000003</v>
      </c>
      <c r="FO32" s="55">
        <v>817.40772000000004</v>
      </c>
      <c r="FP32" s="52">
        <v>6721.9436599999999</v>
      </c>
      <c r="FQ32" s="55">
        <v>1235.0835400000001</v>
      </c>
      <c r="FR32" s="52">
        <v>6803.6132600000001</v>
      </c>
      <c r="FS32" s="55">
        <v>1437.7179900000001</v>
      </c>
      <c r="FT32" s="52">
        <v>7798.4545399999997</v>
      </c>
      <c r="FU32" s="55">
        <v>1587.21226</v>
      </c>
      <c r="FV32" s="52">
        <v>8934.1675799999994</v>
      </c>
      <c r="FW32" s="55">
        <v>2025.36727</v>
      </c>
      <c r="FX32" s="52">
        <v>10188.978440000001</v>
      </c>
      <c r="FY32" s="55">
        <v>2249.5868999999998</v>
      </c>
      <c r="FZ32" s="52">
        <v>10205.59866</v>
      </c>
      <c r="GA32" s="55">
        <v>2578.4448400000001</v>
      </c>
      <c r="GB32" s="52">
        <v>10681.295599999999</v>
      </c>
      <c r="GC32" s="55">
        <v>2705.2163999999998</v>
      </c>
      <c r="GD32" s="52">
        <v>10855.769</v>
      </c>
      <c r="GE32" s="55">
        <v>2912.643</v>
      </c>
      <c r="GF32" s="52">
        <v>10868.217000000001</v>
      </c>
      <c r="GG32" s="55">
        <v>3146.3710000000001</v>
      </c>
      <c r="GH32" s="52">
        <v>10934.165000000001</v>
      </c>
      <c r="GI32" s="55">
        <v>4654.3689999999997</v>
      </c>
      <c r="GJ32" s="52">
        <v>12132.8256</v>
      </c>
      <c r="GK32" s="55">
        <v>5250.3164999999999</v>
      </c>
      <c r="GL32" s="52">
        <v>7586.1779999999999</v>
      </c>
      <c r="GM32" s="55">
        <v>872.52641000000006</v>
      </c>
      <c r="GN32" s="52">
        <v>7784.5219999999999</v>
      </c>
      <c r="GO32" s="55">
        <v>1100.675</v>
      </c>
      <c r="GP32" s="52">
        <v>8652.1569999999992</v>
      </c>
      <c r="GQ32" s="55">
        <v>1224.1020000000001</v>
      </c>
      <c r="GR32" s="52">
        <v>8902.2039999999997</v>
      </c>
      <c r="GS32" s="55">
        <v>2921.4940000000001</v>
      </c>
      <c r="GT32" s="52">
        <v>9921.4670000000006</v>
      </c>
      <c r="GU32" s="55">
        <v>3981.7179999999998</v>
      </c>
      <c r="GV32" s="52">
        <v>11473.638999999999</v>
      </c>
      <c r="GW32" s="55">
        <v>4243.9719999999998</v>
      </c>
      <c r="GX32" s="52">
        <v>11583.315000000001</v>
      </c>
      <c r="GY32" s="55">
        <v>4558.7359999999999</v>
      </c>
      <c r="GZ32" s="52">
        <v>12152.878000000001</v>
      </c>
      <c r="HA32" s="55">
        <v>4602.7269999999999</v>
      </c>
      <c r="HB32" s="52">
        <v>12390.349</v>
      </c>
      <c r="HC32" s="55">
        <v>4691.1059999999998</v>
      </c>
      <c r="HD32" s="52">
        <v>12390.349</v>
      </c>
      <c r="HE32" s="55">
        <v>5019.527</v>
      </c>
      <c r="HF32" s="52">
        <v>12391.912</v>
      </c>
      <c r="HG32" s="55">
        <v>7721.7089999999998</v>
      </c>
      <c r="HH32" s="52">
        <v>12832.040999999999</v>
      </c>
      <c r="HI32" s="55">
        <v>8750.8739999999998</v>
      </c>
      <c r="HJ32" s="52">
        <v>8940.9320000000007</v>
      </c>
      <c r="HK32" s="55">
        <v>25.443999999999999</v>
      </c>
      <c r="HL32" s="52">
        <v>9231.7150000000001</v>
      </c>
      <c r="HM32" s="55">
        <v>125.877</v>
      </c>
      <c r="HN32" s="52">
        <v>10107.849</v>
      </c>
      <c r="HO32" s="55">
        <v>159.84800000000001</v>
      </c>
      <c r="HP32" s="52">
        <v>10107.849</v>
      </c>
      <c r="HQ32" s="55">
        <v>186.30099999999999</v>
      </c>
      <c r="HR32" s="52">
        <v>10404.619000000001</v>
      </c>
      <c r="HS32" s="55">
        <v>221.691</v>
      </c>
      <c r="HT32" s="52">
        <v>11941.550999999999</v>
      </c>
      <c r="HU32" s="55">
        <v>264.76499999999999</v>
      </c>
      <c r="HV32" s="52">
        <v>11945.050999999999</v>
      </c>
      <c r="HW32" s="55">
        <v>302.51</v>
      </c>
      <c r="HX32" s="52">
        <v>12714.194</v>
      </c>
      <c r="HY32" s="55">
        <v>391.77800000000002</v>
      </c>
      <c r="HZ32" s="52">
        <v>12719.475</v>
      </c>
      <c r="IA32" s="55">
        <v>515.33799999999997</v>
      </c>
      <c r="IB32" s="16" t="s">
        <v>65</v>
      </c>
    </row>
    <row r="33" spans="1:239" s="9" customFormat="1" ht="22.5" customHeight="1" x14ac:dyDescent="0.4">
      <c r="A33" s="18" t="s">
        <v>66</v>
      </c>
      <c r="B33" s="50">
        <v>349.78615000000002</v>
      </c>
      <c r="C33" s="50">
        <v>0</v>
      </c>
      <c r="D33" s="50">
        <v>421.29782</v>
      </c>
      <c r="E33" s="50">
        <v>0</v>
      </c>
      <c r="F33" s="50">
        <v>419.26282000000003</v>
      </c>
      <c r="G33" s="50">
        <v>0</v>
      </c>
      <c r="H33" s="50">
        <v>432.47982000000002</v>
      </c>
      <c r="I33" s="50">
        <v>0</v>
      </c>
      <c r="J33" s="50">
        <v>514.13715000000002</v>
      </c>
      <c r="K33" s="50">
        <v>1719.22</v>
      </c>
      <c r="L33" s="50">
        <v>657.18163000000004</v>
      </c>
      <c r="M33" s="50">
        <v>1719.22</v>
      </c>
      <c r="N33" s="50">
        <v>655.85163</v>
      </c>
      <c r="O33" s="50">
        <v>1719.22</v>
      </c>
      <c r="P33" s="50">
        <v>704.74363000000005</v>
      </c>
      <c r="Q33" s="50">
        <v>1719.22</v>
      </c>
      <c r="R33" s="50">
        <v>717.63063</v>
      </c>
      <c r="S33" s="50">
        <v>1719.22</v>
      </c>
      <c r="T33" s="50">
        <v>1086.8759</v>
      </c>
      <c r="U33" s="50">
        <v>1719.22</v>
      </c>
      <c r="V33" s="50">
        <v>1293.81023</v>
      </c>
      <c r="W33" s="50">
        <v>1719.22</v>
      </c>
      <c r="X33" s="50">
        <v>1096.8889199999999</v>
      </c>
      <c r="Y33" s="50">
        <v>1719.22</v>
      </c>
      <c r="Z33" s="50">
        <v>47.001370000000001</v>
      </c>
      <c r="AA33" s="50">
        <v>0</v>
      </c>
      <c r="AB33" s="50">
        <v>53.995609999999999</v>
      </c>
      <c r="AC33" s="50">
        <v>0</v>
      </c>
      <c r="AD33" s="50">
        <v>57.461010000000002</v>
      </c>
      <c r="AE33" s="50">
        <v>0</v>
      </c>
      <c r="AF33" s="50">
        <v>62.604169999999996</v>
      </c>
      <c r="AG33" s="50">
        <v>0</v>
      </c>
      <c r="AH33" s="50">
        <v>63.570900000000002</v>
      </c>
      <c r="AI33" s="50">
        <v>0</v>
      </c>
      <c r="AJ33" s="50">
        <v>73.978289999999987</v>
      </c>
      <c r="AK33" s="50">
        <v>0</v>
      </c>
      <c r="AL33" s="50">
        <v>259.44099999999997</v>
      </c>
      <c r="AM33" s="50">
        <v>0</v>
      </c>
      <c r="AN33" s="50">
        <v>262.82402000000002</v>
      </c>
      <c r="AO33" s="50">
        <v>0</v>
      </c>
      <c r="AP33" s="50">
        <v>645.34637999999995</v>
      </c>
      <c r="AQ33" s="50">
        <v>0</v>
      </c>
      <c r="AR33" s="50">
        <v>657.55461000000003</v>
      </c>
      <c r="AS33" s="50">
        <v>0</v>
      </c>
      <c r="AT33" s="50">
        <v>665.2585600000001</v>
      </c>
      <c r="AU33" s="50">
        <v>0</v>
      </c>
      <c r="AV33" s="50">
        <v>673.25146999999993</v>
      </c>
      <c r="AW33" s="50">
        <v>0</v>
      </c>
      <c r="AX33" s="50">
        <v>49.121480000000005</v>
      </c>
      <c r="AY33" s="50">
        <v>0</v>
      </c>
      <c r="AZ33" s="50">
        <v>54.246259999999999</v>
      </c>
      <c r="BA33" s="50">
        <v>0</v>
      </c>
      <c r="BB33" s="50">
        <v>58.614179999999998</v>
      </c>
      <c r="BC33" s="50">
        <v>0</v>
      </c>
      <c r="BD33" s="50">
        <v>64.496430000000004</v>
      </c>
      <c r="BE33" s="50">
        <v>0</v>
      </c>
      <c r="BF33" s="50">
        <v>131.82868999999999</v>
      </c>
      <c r="BG33" s="50">
        <v>0</v>
      </c>
      <c r="BH33" s="50">
        <v>152.87327999999999</v>
      </c>
      <c r="BI33" s="50">
        <v>0</v>
      </c>
      <c r="BJ33" s="50">
        <v>158.19068999999999</v>
      </c>
      <c r="BK33" s="50">
        <v>0</v>
      </c>
      <c r="BL33" s="50">
        <v>271.68840999999998</v>
      </c>
      <c r="BM33" s="50">
        <v>0</v>
      </c>
      <c r="BN33" s="50">
        <v>277.93254999999999</v>
      </c>
      <c r="BO33" s="50">
        <v>0</v>
      </c>
      <c r="BP33" s="50">
        <v>279.98928999999998</v>
      </c>
      <c r="BQ33" s="50">
        <v>0</v>
      </c>
      <c r="BR33" s="50">
        <v>286.00727000000001</v>
      </c>
      <c r="BS33" s="50">
        <v>0</v>
      </c>
      <c r="BT33" s="50">
        <v>285.37624</v>
      </c>
      <c r="BU33" s="50">
        <v>0</v>
      </c>
      <c r="BV33" s="50">
        <v>3.6664699999999999</v>
      </c>
      <c r="BW33" s="50">
        <v>0</v>
      </c>
      <c r="BX33" s="50">
        <v>47.676960000000001</v>
      </c>
      <c r="BY33" s="50">
        <v>0</v>
      </c>
      <c r="BZ33" s="50">
        <v>138.01726000000002</v>
      </c>
      <c r="CA33" s="50">
        <v>0</v>
      </c>
      <c r="CB33" s="50">
        <v>141.82848000000001</v>
      </c>
      <c r="CC33" s="50">
        <v>0</v>
      </c>
      <c r="CD33" s="50">
        <v>156.65725</v>
      </c>
      <c r="CE33" s="50">
        <v>0</v>
      </c>
      <c r="CF33" s="50">
        <v>172.31475</v>
      </c>
      <c r="CG33" s="50">
        <v>0</v>
      </c>
      <c r="CH33" s="50">
        <v>150.39344</v>
      </c>
      <c r="CI33" s="50">
        <v>0</v>
      </c>
      <c r="CJ33" s="50">
        <v>213.39896999999999</v>
      </c>
      <c r="CK33" s="50">
        <v>0</v>
      </c>
      <c r="CL33" s="50">
        <v>223.33305999999999</v>
      </c>
      <c r="CM33" s="50">
        <v>0</v>
      </c>
      <c r="CN33" s="50">
        <v>343.62844999999999</v>
      </c>
      <c r="CO33" s="50">
        <v>0</v>
      </c>
      <c r="CP33" s="50">
        <v>432.89949999999999</v>
      </c>
      <c r="CQ33" s="50">
        <v>0</v>
      </c>
      <c r="CR33" s="50">
        <v>437.51801</v>
      </c>
      <c r="CS33" s="50">
        <v>0</v>
      </c>
      <c r="CT33" s="50">
        <v>6.0783800000000001</v>
      </c>
      <c r="CU33" s="50">
        <v>0</v>
      </c>
      <c r="CV33" s="50">
        <v>54.118180000000002</v>
      </c>
      <c r="CW33" s="50">
        <v>0</v>
      </c>
      <c r="CX33" s="50">
        <v>55.19502</v>
      </c>
      <c r="CY33" s="50">
        <v>0</v>
      </c>
      <c r="CZ33" s="50">
        <v>56.359449999999995</v>
      </c>
      <c r="DA33" s="50">
        <v>0</v>
      </c>
      <c r="DB33" s="50">
        <v>57.199570000000001</v>
      </c>
      <c r="DC33" s="50">
        <v>0</v>
      </c>
      <c r="DD33" s="50">
        <v>58.564269999999993</v>
      </c>
      <c r="DE33" s="50">
        <v>0</v>
      </c>
      <c r="DF33" s="50">
        <v>59.497999999999998</v>
      </c>
      <c r="DG33" s="50">
        <v>0</v>
      </c>
      <c r="DH33" s="50">
        <v>60.219919999999995</v>
      </c>
      <c r="DI33" s="50">
        <v>0</v>
      </c>
      <c r="DJ33" s="50">
        <v>188.17137</v>
      </c>
      <c r="DK33" s="50">
        <v>0</v>
      </c>
      <c r="DL33" s="50">
        <v>188.83923999999999</v>
      </c>
      <c r="DM33" s="50">
        <v>0</v>
      </c>
      <c r="DN33" s="50">
        <v>189.56888000000001</v>
      </c>
      <c r="DO33" s="50">
        <v>0</v>
      </c>
      <c r="DP33" s="50">
        <v>188.70277999999999</v>
      </c>
      <c r="DQ33" s="51">
        <v>0</v>
      </c>
      <c r="DR33" s="52">
        <v>0.76361000000000001</v>
      </c>
      <c r="DS33" s="53">
        <v>0</v>
      </c>
      <c r="DT33" s="54">
        <v>99.276489999999995</v>
      </c>
      <c r="DU33" s="51">
        <v>0</v>
      </c>
      <c r="DV33" s="52">
        <v>100.20121</v>
      </c>
      <c r="DW33" s="53">
        <v>0</v>
      </c>
      <c r="DX33" s="54">
        <v>101.04737</v>
      </c>
      <c r="DY33" s="51">
        <v>0</v>
      </c>
      <c r="DZ33" s="52">
        <v>101.79643</v>
      </c>
      <c r="EA33" s="53">
        <v>0</v>
      </c>
      <c r="EB33" s="54">
        <v>102.44020999999999</v>
      </c>
      <c r="EC33" s="51">
        <v>0</v>
      </c>
      <c r="ED33" s="52">
        <v>102.44020999999999</v>
      </c>
      <c r="EE33" s="53">
        <v>0</v>
      </c>
      <c r="EF33" s="52">
        <v>102.44020999999999</v>
      </c>
      <c r="EG33" s="53">
        <v>0</v>
      </c>
      <c r="EH33" s="54">
        <v>261.42243000000002</v>
      </c>
      <c r="EI33" s="53">
        <v>0</v>
      </c>
      <c r="EJ33" s="54">
        <v>261.42243000000002</v>
      </c>
      <c r="EK33" s="53">
        <v>0</v>
      </c>
      <c r="EL33" s="52">
        <v>261.42243000000002</v>
      </c>
      <c r="EM33" s="55">
        <v>0</v>
      </c>
      <c r="EN33" s="52">
        <v>261.42243000000002</v>
      </c>
      <c r="EO33" s="55">
        <v>0</v>
      </c>
      <c r="EP33" s="52">
        <v>0</v>
      </c>
      <c r="EQ33" s="55">
        <v>0</v>
      </c>
      <c r="ER33" s="52">
        <v>87.425989999999999</v>
      </c>
      <c r="ES33" s="55">
        <v>0</v>
      </c>
      <c r="ET33" s="52">
        <v>87.425989999999999</v>
      </c>
      <c r="EU33" s="55">
        <v>0</v>
      </c>
      <c r="EV33" s="52">
        <v>87.425989999999999</v>
      </c>
      <c r="EW33" s="55">
        <v>0</v>
      </c>
      <c r="EX33" s="52">
        <v>87.425989999999999</v>
      </c>
      <c r="EY33" s="55">
        <v>0</v>
      </c>
      <c r="EZ33" s="52">
        <v>87.425989999999999</v>
      </c>
      <c r="FA33" s="55">
        <v>0</v>
      </c>
      <c r="FB33" s="52">
        <v>87.425989999999999</v>
      </c>
      <c r="FC33" s="55">
        <v>0</v>
      </c>
      <c r="FD33" s="52">
        <v>255.21241000000001</v>
      </c>
      <c r="FE33" s="55">
        <v>0</v>
      </c>
      <c r="FF33" s="52">
        <v>255.21241000000001</v>
      </c>
      <c r="FG33" s="55">
        <v>0</v>
      </c>
      <c r="FH33" s="52">
        <v>259.32819999999998</v>
      </c>
      <c r="FI33" s="55">
        <v>0</v>
      </c>
      <c r="FJ33" s="52">
        <v>259.32819999999998</v>
      </c>
      <c r="FK33" s="55">
        <v>0</v>
      </c>
      <c r="FL33" s="52">
        <v>259.32820000000004</v>
      </c>
      <c r="FM33" s="55">
        <v>0</v>
      </c>
      <c r="FN33" s="52">
        <v>0</v>
      </c>
      <c r="FO33" s="55">
        <v>0</v>
      </c>
      <c r="FP33" s="52">
        <v>82.429860000000005</v>
      </c>
      <c r="FQ33" s="55">
        <v>0</v>
      </c>
      <c r="FR33" s="52">
        <v>82.429860000000005</v>
      </c>
      <c r="FS33" s="55">
        <v>0</v>
      </c>
      <c r="FT33" s="52">
        <v>82.429860000000005</v>
      </c>
      <c r="FU33" s="55">
        <v>0</v>
      </c>
      <c r="FV33" s="52">
        <v>82.429860000000005</v>
      </c>
      <c r="FW33" s="55">
        <v>0</v>
      </c>
      <c r="FX33" s="52">
        <v>85.561409999999995</v>
      </c>
      <c r="FY33" s="55">
        <v>0</v>
      </c>
      <c r="FZ33" s="52">
        <v>85.561409999999995</v>
      </c>
      <c r="GA33" s="55">
        <v>0</v>
      </c>
      <c r="GB33" s="52">
        <v>85.561409999999995</v>
      </c>
      <c r="GC33" s="55">
        <v>0</v>
      </c>
      <c r="GD33" s="52">
        <v>85.561409999999995</v>
      </c>
      <c r="GE33" s="55">
        <v>0</v>
      </c>
      <c r="GF33" s="52">
        <v>85.561409999999995</v>
      </c>
      <c r="GG33" s="55">
        <v>0</v>
      </c>
      <c r="GH33" s="52">
        <v>85.561409999999995</v>
      </c>
      <c r="GI33" s="55">
        <v>0</v>
      </c>
      <c r="GJ33" s="52">
        <v>85.561409999999995</v>
      </c>
      <c r="GK33" s="55">
        <v>0</v>
      </c>
      <c r="GL33" s="52">
        <v>85.561409999999995</v>
      </c>
      <c r="GM33" s="55">
        <v>0</v>
      </c>
      <c r="GN33" s="52">
        <v>85.561409999999995</v>
      </c>
      <c r="GO33" s="55">
        <v>0</v>
      </c>
      <c r="GP33" s="52">
        <v>85.561409999999995</v>
      </c>
      <c r="GQ33" s="55">
        <v>0</v>
      </c>
      <c r="GR33" s="52">
        <v>85.561409999999995</v>
      </c>
      <c r="GS33" s="55">
        <v>0</v>
      </c>
      <c r="GT33" s="52">
        <v>128.06141</v>
      </c>
      <c r="GU33" s="55">
        <v>0</v>
      </c>
      <c r="GV33" s="52">
        <v>128.06141</v>
      </c>
      <c r="GW33" s="55">
        <v>0</v>
      </c>
      <c r="GX33" s="52">
        <v>128.06141</v>
      </c>
      <c r="GY33" s="55">
        <v>0</v>
      </c>
      <c r="GZ33" s="52">
        <v>128.06141</v>
      </c>
      <c r="HA33" s="55">
        <v>0</v>
      </c>
      <c r="HB33" s="52">
        <v>128.06141</v>
      </c>
      <c r="HC33" s="55">
        <v>0</v>
      </c>
      <c r="HD33" s="52">
        <v>160.23391000000001</v>
      </c>
      <c r="HE33" s="55">
        <v>0</v>
      </c>
      <c r="HF33" s="52">
        <v>160.23391000000001</v>
      </c>
      <c r="HG33" s="55">
        <v>0</v>
      </c>
      <c r="HH33" s="52">
        <v>160.23391000000001</v>
      </c>
      <c r="HI33" s="55">
        <v>0</v>
      </c>
      <c r="HJ33" s="52">
        <v>0</v>
      </c>
      <c r="HK33" s="55">
        <v>0</v>
      </c>
      <c r="HL33" s="52">
        <v>67.038480000000007</v>
      </c>
      <c r="HM33" s="55">
        <v>0</v>
      </c>
      <c r="HN33" s="52">
        <v>67.038480000000007</v>
      </c>
      <c r="HO33" s="55">
        <v>0</v>
      </c>
      <c r="HP33" s="52">
        <v>67.038480000000007</v>
      </c>
      <c r="HQ33" s="55">
        <v>0</v>
      </c>
      <c r="HR33" s="52">
        <v>107.41348000000001</v>
      </c>
      <c r="HS33" s="55">
        <v>0</v>
      </c>
      <c r="HT33" s="52">
        <v>107.41348000000001</v>
      </c>
      <c r="HU33" s="55">
        <v>0</v>
      </c>
      <c r="HV33" s="52">
        <v>107.41348000000001</v>
      </c>
      <c r="HW33" s="55">
        <v>0</v>
      </c>
      <c r="HX33" s="52">
        <v>107.41348000000001</v>
      </c>
      <c r="HY33" s="55">
        <v>0</v>
      </c>
      <c r="HZ33" s="52">
        <v>149.30707000000001</v>
      </c>
      <c r="IA33" s="55">
        <v>0</v>
      </c>
      <c r="IB33" s="19" t="s">
        <v>67</v>
      </c>
    </row>
    <row r="34" spans="1:239" s="9" customFormat="1" ht="22.5" customHeight="1" x14ac:dyDescent="0.4">
      <c r="A34" s="15" t="s">
        <v>68</v>
      </c>
      <c r="B34" s="50">
        <v>349.78615000000002</v>
      </c>
      <c r="C34" s="50">
        <v>0</v>
      </c>
      <c r="D34" s="50">
        <v>421.29782</v>
      </c>
      <c r="E34" s="50">
        <v>0</v>
      </c>
      <c r="F34" s="50">
        <v>419.26282000000003</v>
      </c>
      <c r="G34" s="50">
        <v>0</v>
      </c>
      <c r="H34" s="50">
        <v>432.47982000000002</v>
      </c>
      <c r="I34" s="50">
        <v>0</v>
      </c>
      <c r="J34" s="50">
        <v>514.13715000000002</v>
      </c>
      <c r="K34" s="50">
        <v>1719.22</v>
      </c>
      <c r="L34" s="50">
        <v>655.64662999999996</v>
      </c>
      <c r="M34" s="50">
        <v>1719.22</v>
      </c>
      <c r="N34" s="50">
        <v>655.85163</v>
      </c>
      <c r="O34" s="50">
        <v>1719.22</v>
      </c>
      <c r="P34" s="50">
        <v>655.85163</v>
      </c>
      <c r="Q34" s="50">
        <v>1719.22</v>
      </c>
      <c r="R34" s="50">
        <v>668.73863000000006</v>
      </c>
      <c r="S34" s="50">
        <v>1719.22</v>
      </c>
      <c r="T34" s="50">
        <v>1037.9838999999999</v>
      </c>
      <c r="U34" s="50">
        <v>1719.22</v>
      </c>
      <c r="V34" s="50">
        <v>1244.91823</v>
      </c>
      <c r="W34" s="50">
        <v>1719.22</v>
      </c>
      <c r="X34" s="50">
        <v>1047.99692</v>
      </c>
      <c r="Y34" s="50">
        <v>1719.22</v>
      </c>
      <c r="Z34" s="50">
        <v>47.001370000000001</v>
      </c>
      <c r="AA34" s="50">
        <v>0</v>
      </c>
      <c r="AB34" s="50">
        <v>53.995609999999999</v>
      </c>
      <c r="AC34" s="50">
        <v>0</v>
      </c>
      <c r="AD34" s="50">
        <v>57.461010000000002</v>
      </c>
      <c r="AE34" s="50">
        <v>0</v>
      </c>
      <c r="AF34" s="50">
        <v>62.604169999999996</v>
      </c>
      <c r="AG34" s="50">
        <v>0</v>
      </c>
      <c r="AH34" s="50">
        <v>63.570900000000002</v>
      </c>
      <c r="AI34" s="50">
        <v>0</v>
      </c>
      <c r="AJ34" s="50">
        <v>73.978289999999987</v>
      </c>
      <c r="AK34" s="50">
        <v>0</v>
      </c>
      <c r="AL34" s="50">
        <v>213.11799999999999</v>
      </c>
      <c r="AM34" s="50">
        <v>0</v>
      </c>
      <c r="AN34" s="50">
        <v>216.50101999999998</v>
      </c>
      <c r="AO34" s="50">
        <v>0</v>
      </c>
      <c r="AP34" s="50">
        <v>599.03337999999997</v>
      </c>
      <c r="AQ34" s="50">
        <v>0</v>
      </c>
      <c r="AR34" s="50">
        <v>611.25161000000003</v>
      </c>
      <c r="AS34" s="50">
        <v>0</v>
      </c>
      <c r="AT34" s="50">
        <v>618.93556000000001</v>
      </c>
      <c r="AU34" s="50">
        <v>0</v>
      </c>
      <c r="AV34" s="50">
        <v>626.92846999999995</v>
      </c>
      <c r="AW34" s="50">
        <v>0</v>
      </c>
      <c r="AX34" s="50">
        <v>49.121480000000005</v>
      </c>
      <c r="AY34" s="50">
        <v>0</v>
      </c>
      <c r="AZ34" s="50">
        <v>54.246259999999999</v>
      </c>
      <c r="BA34" s="50">
        <v>0</v>
      </c>
      <c r="BB34" s="50">
        <v>58.614179999999998</v>
      </c>
      <c r="BC34" s="50">
        <v>0</v>
      </c>
      <c r="BD34" s="50">
        <v>64.496430000000004</v>
      </c>
      <c r="BE34" s="50">
        <v>0</v>
      </c>
      <c r="BF34" s="50">
        <v>131.82868999999999</v>
      </c>
      <c r="BG34" s="50">
        <v>0</v>
      </c>
      <c r="BH34" s="50">
        <v>152.87327999999999</v>
      </c>
      <c r="BI34" s="50">
        <v>0</v>
      </c>
      <c r="BJ34" s="50">
        <v>158.19068999999999</v>
      </c>
      <c r="BK34" s="50">
        <v>0</v>
      </c>
      <c r="BL34" s="50">
        <v>271.68840999999998</v>
      </c>
      <c r="BM34" s="50">
        <v>0</v>
      </c>
      <c r="BN34" s="50">
        <v>277.93254999999999</v>
      </c>
      <c r="BO34" s="50">
        <v>0</v>
      </c>
      <c r="BP34" s="50">
        <v>279.98928999999998</v>
      </c>
      <c r="BQ34" s="50">
        <v>0</v>
      </c>
      <c r="BR34" s="50">
        <v>286.00727000000001</v>
      </c>
      <c r="BS34" s="50">
        <v>0</v>
      </c>
      <c r="BT34" s="50">
        <v>285.37624</v>
      </c>
      <c r="BU34" s="50">
        <v>0</v>
      </c>
      <c r="BV34" s="50">
        <v>3.6664699999999999</v>
      </c>
      <c r="BW34" s="50">
        <v>0</v>
      </c>
      <c r="BX34" s="50">
        <v>47.676960000000001</v>
      </c>
      <c r="BY34" s="50">
        <v>0</v>
      </c>
      <c r="BZ34" s="50">
        <v>138.01726000000002</v>
      </c>
      <c r="CA34" s="50">
        <v>0</v>
      </c>
      <c r="CB34" s="50">
        <v>141.82848000000001</v>
      </c>
      <c r="CC34" s="50">
        <v>0</v>
      </c>
      <c r="CD34" s="50">
        <v>156.65725</v>
      </c>
      <c r="CE34" s="50">
        <v>0</v>
      </c>
      <c r="CF34" s="50">
        <v>172.31475</v>
      </c>
      <c r="CG34" s="50">
        <v>0</v>
      </c>
      <c r="CH34" s="50">
        <v>150.39344</v>
      </c>
      <c r="CI34" s="50">
        <v>0</v>
      </c>
      <c r="CJ34" s="50">
        <v>213.39896999999999</v>
      </c>
      <c r="CK34" s="50">
        <v>0</v>
      </c>
      <c r="CL34" s="50">
        <v>223.33305999999999</v>
      </c>
      <c r="CM34" s="50">
        <v>0</v>
      </c>
      <c r="CN34" s="50">
        <v>343.62844999999999</v>
      </c>
      <c r="CO34" s="50">
        <v>0</v>
      </c>
      <c r="CP34" s="50">
        <v>432.89949999999999</v>
      </c>
      <c r="CQ34" s="50">
        <v>0</v>
      </c>
      <c r="CR34" s="50">
        <v>437.51801</v>
      </c>
      <c r="CS34" s="50">
        <v>0</v>
      </c>
      <c r="CT34" s="50">
        <v>6.0783800000000001</v>
      </c>
      <c r="CU34" s="50">
        <v>0</v>
      </c>
      <c r="CV34" s="50">
        <v>54.118180000000002</v>
      </c>
      <c r="CW34" s="50">
        <v>0</v>
      </c>
      <c r="CX34" s="50">
        <v>55.19502</v>
      </c>
      <c r="CY34" s="50">
        <v>0</v>
      </c>
      <c r="CZ34" s="50">
        <v>56.359449999999995</v>
      </c>
      <c r="DA34" s="50">
        <v>0</v>
      </c>
      <c r="DB34" s="50">
        <v>57.199570000000001</v>
      </c>
      <c r="DC34" s="50">
        <v>0</v>
      </c>
      <c r="DD34" s="50">
        <v>58.564269999999993</v>
      </c>
      <c r="DE34" s="50">
        <v>0</v>
      </c>
      <c r="DF34" s="50">
        <v>59.497999999999998</v>
      </c>
      <c r="DG34" s="50">
        <v>0</v>
      </c>
      <c r="DH34" s="50">
        <v>60.219919999999995</v>
      </c>
      <c r="DI34" s="50">
        <v>0</v>
      </c>
      <c r="DJ34" s="50">
        <v>188.17137</v>
      </c>
      <c r="DK34" s="50">
        <v>0</v>
      </c>
      <c r="DL34" s="50">
        <v>188.83923999999999</v>
      </c>
      <c r="DM34" s="50">
        <v>0</v>
      </c>
      <c r="DN34" s="50">
        <v>189.56888000000001</v>
      </c>
      <c r="DO34" s="50">
        <v>0</v>
      </c>
      <c r="DP34" s="50">
        <v>188.70277999999999</v>
      </c>
      <c r="DQ34" s="51">
        <v>0</v>
      </c>
      <c r="DR34" s="52">
        <v>0.76361000000000001</v>
      </c>
      <c r="DS34" s="53">
        <v>0</v>
      </c>
      <c r="DT34" s="54">
        <v>99.276489999999995</v>
      </c>
      <c r="DU34" s="51">
        <v>0</v>
      </c>
      <c r="DV34" s="52">
        <v>100.20121</v>
      </c>
      <c r="DW34" s="53">
        <v>0</v>
      </c>
      <c r="DX34" s="54">
        <v>101.04737</v>
      </c>
      <c r="DY34" s="51">
        <v>0</v>
      </c>
      <c r="DZ34" s="52">
        <v>101.79643</v>
      </c>
      <c r="EA34" s="53">
        <v>0</v>
      </c>
      <c r="EB34" s="54">
        <v>102.44020999999999</v>
      </c>
      <c r="EC34" s="51">
        <v>0</v>
      </c>
      <c r="ED34" s="52">
        <v>102.44020999999999</v>
      </c>
      <c r="EE34" s="53">
        <v>0</v>
      </c>
      <c r="EF34" s="52">
        <v>102.44020999999999</v>
      </c>
      <c r="EG34" s="53">
        <v>0</v>
      </c>
      <c r="EH34" s="54">
        <v>261.42243000000002</v>
      </c>
      <c r="EI34" s="53">
        <v>0</v>
      </c>
      <c r="EJ34" s="54">
        <v>261.42243000000002</v>
      </c>
      <c r="EK34" s="53">
        <v>0</v>
      </c>
      <c r="EL34" s="52">
        <v>261.42243000000002</v>
      </c>
      <c r="EM34" s="55">
        <v>0</v>
      </c>
      <c r="EN34" s="52">
        <v>261.42243000000002</v>
      </c>
      <c r="EO34" s="55">
        <v>0</v>
      </c>
      <c r="EP34" s="52">
        <v>0</v>
      </c>
      <c r="EQ34" s="55">
        <v>0</v>
      </c>
      <c r="ER34" s="52">
        <v>87.425989999999999</v>
      </c>
      <c r="ES34" s="55">
        <v>0</v>
      </c>
      <c r="ET34" s="52">
        <v>87.425989999999999</v>
      </c>
      <c r="EU34" s="55">
        <v>0</v>
      </c>
      <c r="EV34" s="52">
        <v>87.425989999999999</v>
      </c>
      <c r="EW34" s="55">
        <v>0</v>
      </c>
      <c r="EX34" s="52">
        <v>87.425989999999999</v>
      </c>
      <c r="EY34" s="55">
        <v>0</v>
      </c>
      <c r="EZ34" s="52">
        <v>87.425989999999999</v>
      </c>
      <c r="FA34" s="55">
        <v>0</v>
      </c>
      <c r="FB34" s="52">
        <v>87.425989999999999</v>
      </c>
      <c r="FC34" s="55">
        <v>0</v>
      </c>
      <c r="FD34" s="52">
        <v>255.21241000000001</v>
      </c>
      <c r="FE34" s="55">
        <v>0</v>
      </c>
      <c r="FF34" s="52">
        <v>255.21241000000001</v>
      </c>
      <c r="FG34" s="55">
        <v>0</v>
      </c>
      <c r="FH34" s="52">
        <v>259.32819999999998</v>
      </c>
      <c r="FI34" s="55">
        <v>0</v>
      </c>
      <c r="FJ34" s="52">
        <v>259.32819999999998</v>
      </c>
      <c r="FK34" s="55">
        <v>0</v>
      </c>
      <c r="FL34" s="52">
        <v>259.32820000000004</v>
      </c>
      <c r="FM34" s="55">
        <v>0</v>
      </c>
      <c r="FN34" s="52">
        <v>0</v>
      </c>
      <c r="FO34" s="55">
        <v>0</v>
      </c>
      <c r="FP34" s="52">
        <v>82.429860000000005</v>
      </c>
      <c r="FQ34" s="55">
        <v>0</v>
      </c>
      <c r="FR34" s="52">
        <v>82.429860000000005</v>
      </c>
      <c r="FS34" s="55">
        <v>0</v>
      </c>
      <c r="FT34" s="52">
        <v>82.429860000000005</v>
      </c>
      <c r="FU34" s="55">
        <v>0</v>
      </c>
      <c r="FV34" s="52">
        <v>82.429860000000005</v>
      </c>
      <c r="FW34" s="55">
        <v>0</v>
      </c>
      <c r="FX34" s="52">
        <v>85.561409999999995</v>
      </c>
      <c r="FY34" s="55">
        <v>0</v>
      </c>
      <c r="FZ34" s="52">
        <v>85.561409999999995</v>
      </c>
      <c r="GA34" s="55">
        <v>0</v>
      </c>
      <c r="GB34" s="52">
        <v>85.561409999999995</v>
      </c>
      <c r="GC34" s="55">
        <v>0</v>
      </c>
      <c r="GD34" s="52">
        <v>85.561409999999995</v>
      </c>
      <c r="GE34" s="55">
        <v>0</v>
      </c>
      <c r="GF34" s="52">
        <v>85.561409999999995</v>
      </c>
      <c r="GG34" s="55">
        <v>0</v>
      </c>
      <c r="GH34" s="52">
        <v>85.561409999999995</v>
      </c>
      <c r="GI34" s="55">
        <v>0</v>
      </c>
      <c r="GJ34" s="52">
        <v>85.561409999999995</v>
      </c>
      <c r="GK34" s="55" t="s">
        <v>135</v>
      </c>
      <c r="GL34" s="52">
        <v>85.561409999999995</v>
      </c>
      <c r="GM34" s="55">
        <v>0</v>
      </c>
      <c r="GN34" s="52">
        <v>85.561409999999995</v>
      </c>
      <c r="GO34" s="55">
        <v>0</v>
      </c>
      <c r="GP34" s="52">
        <v>85.561410000000009</v>
      </c>
      <c r="GQ34" s="55">
        <v>0</v>
      </c>
      <c r="GR34" s="52">
        <v>85.561409999999995</v>
      </c>
      <c r="GS34" s="55">
        <v>0</v>
      </c>
      <c r="GT34" s="52">
        <v>85.561409999999995</v>
      </c>
      <c r="GU34" s="55">
        <v>0</v>
      </c>
      <c r="GV34" s="52">
        <v>85.561409999999995</v>
      </c>
      <c r="GW34" s="55">
        <v>0</v>
      </c>
      <c r="GX34" s="52">
        <v>85.561409999999995</v>
      </c>
      <c r="GY34" s="55">
        <v>0</v>
      </c>
      <c r="GZ34" s="52">
        <v>85.561409999999995</v>
      </c>
      <c r="HA34" s="55">
        <v>0</v>
      </c>
      <c r="HB34" s="52">
        <v>85.561409999999995</v>
      </c>
      <c r="HC34" s="55">
        <v>0</v>
      </c>
      <c r="HD34" s="52">
        <v>85.561409999999995</v>
      </c>
      <c r="HE34" s="55">
        <v>0</v>
      </c>
      <c r="HF34" s="52">
        <v>85.561409999999995</v>
      </c>
      <c r="HG34" s="55">
        <v>0</v>
      </c>
      <c r="HH34" s="52">
        <v>85.561409999999995</v>
      </c>
      <c r="HI34" s="55">
        <v>0</v>
      </c>
      <c r="HJ34" s="52">
        <v>0</v>
      </c>
      <c r="HK34" s="55">
        <v>0</v>
      </c>
      <c r="HL34" s="52">
        <v>67.038480000000007</v>
      </c>
      <c r="HM34" s="55">
        <v>0</v>
      </c>
      <c r="HN34" s="52">
        <v>67.038480000000007</v>
      </c>
      <c r="HO34" s="55">
        <v>0</v>
      </c>
      <c r="HP34" s="52">
        <v>67.038480000000007</v>
      </c>
      <c r="HQ34" s="55">
        <v>0</v>
      </c>
      <c r="HR34" s="52">
        <v>67.038480000000007</v>
      </c>
      <c r="HS34" s="55">
        <v>0</v>
      </c>
      <c r="HT34" s="52">
        <v>67.038480000000007</v>
      </c>
      <c r="HU34" s="55">
        <v>0</v>
      </c>
      <c r="HV34" s="52">
        <v>67.038480000000007</v>
      </c>
      <c r="HW34" s="55">
        <v>0</v>
      </c>
      <c r="HX34" s="52">
        <v>67.038480000000007</v>
      </c>
      <c r="HY34" s="55">
        <v>0</v>
      </c>
      <c r="HZ34" s="52">
        <v>67.038480000000007</v>
      </c>
      <c r="IA34" s="55">
        <v>0</v>
      </c>
      <c r="IB34" s="17" t="s">
        <v>117</v>
      </c>
    </row>
    <row r="35" spans="1:239" s="9" customFormat="1" ht="22.5" customHeight="1" x14ac:dyDescent="0.4">
      <c r="A35" s="15" t="s">
        <v>69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1.5349999999999999</v>
      </c>
      <c r="M35" s="50">
        <v>0</v>
      </c>
      <c r="N35" s="50">
        <v>0</v>
      </c>
      <c r="O35" s="50">
        <v>0</v>
      </c>
      <c r="P35" s="50">
        <v>48.892000000000003</v>
      </c>
      <c r="Q35" s="50">
        <v>0</v>
      </c>
      <c r="R35" s="50">
        <v>48.892000000000003</v>
      </c>
      <c r="S35" s="50">
        <v>0</v>
      </c>
      <c r="T35" s="50">
        <v>48.892000000000003</v>
      </c>
      <c r="U35" s="50">
        <v>0</v>
      </c>
      <c r="V35" s="50">
        <v>48.892000000000003</v>
      </c>
      <c r="W35" s="50">
        <v>0</v>
      </c>
      <c r="X35" s="50">
        <v>48.892000000000003</v>
      </c>
      <c r="Y35" s="50">
        <v>0</v>
      </c>
      <c r="Z35" s="50"/>
      <c r="AA35" s="50"/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50">
        <v>0</v>
      </c>
      <c r="AH35" s="50">
        <v>0</v>
      </c>
      <c r="AI35" s="50">
        <v>0</v>
      </c>
      <c r="AJ35" s="50">
        <v>0</v>
      </c>
      <c r="AK35" s="50">
        <v>0</v>
      </c>
      <c r="AL35" s="50">
        <v>46.323</v>
      </c>
      <c r="AM35" s="50">
        <v>0</v>
      </c>
      <c r="AN35" s="50">
        <v>46.323</v>
      </c>
      <c r="AO35" s="50">
        <v>0</v>
      </c>
      <c r="AP35" s="50">
        <v>46.323</v>
      </c>
      <c r="AQ35" s="50">
        <v>0</v>
      </c>
      <c r="AR35" s="50">
        <v>46.323</v>
      </c>
      <c r="AS35" s="50">
        <v>0</v>
      </c>
      <c r="AT35" s="50">
        <v>46.323</v>
      </c>
      <c r="AU35" s="50">
        <v>0</v>
      </c>
      <c r="AV35" s="50">
        <v>46.323</v>
      </c>
      <c r="AW35" s="50">
        <v>0</v>
      </c>
      <c r="AX35" s="50">
        <v>0</v>
      </c>
      <c r="AY35" s="50">
        <v>0</v>
      </c>
      <c r="AZ35" s="50">
        <v>0</v>
      </c>
      <c r="BA35" s="50">
        <v>0</v>
      </c>
      <c r="BB35" s="50">
        <v>0</v>
      </c>
      <c r="BC35" s="50">
        <v>0</v>
      </c>
      <c r="BD35" s="50">
        <v>0</v>
      </c>
      <c r="BE35" s="50">
        <v>0</v>
      </c>
      <c r="BF35" s="50">
        <v>0</v>
      </c>
      <c r="BG35" s="50">
        <v>0</v>
      </c>
      <c r="BH35" s="50">
        <v>0</v>
      </c>
      <c r="BI35" s="50">
        <v>0</v>
      </c>
      <c r="BJ35" s="50">
        <v>0</v>
      </c>
      <c r="BK35" s="50">
        <v>0</v>
      </c>
      <c r="BL35" s="50">
        <v>0</v>
      </c>
      <c r="BM35" s="50">
        <v>0</v>
      </c>
      <c r="BN35" s="50">
        <v>0</v>
      </c>
      <c r="BO35" s="50">
        <v>0</v>
      </c>
      <c r="BP35" s="50">
        <v>0</v>
      </c>
      <c r="BQ35" s="50">
        <v>0</v>
      </c>
      <c r="BR35" s="50">
        <v>0</v>
      </c>
      <c r="BS35" s="50">
        <v>0</v>
      </c>
      <c r="BT35" s="50">
        <v>0</v>
      </c>
      <c r="BU35" s="50">
        <v>0</v>
      </c>
      <c r="BV35" s="50">
        <v>0</v>
      </c>
      <c r="BW35" s="50">
        <v>0</v>
      </c>
      <c r="BX35" s="50">
        <v>0</v>
      </c>
      <c r="BY35" s="50">
        <v>0</v>
      </c>
      <c r="BZ35" s="50">
        <v>0</v>
      </c>
      <c r="CA35" s="50">
        <v>0</v>
      </c>
      <c r="CB35" s="50">
        <v>0</v>
      </c>
      <c r="CC35" s="50">
        <v>0</v>
      </c>
      <c r="CD35" s="50">
        <v>0</v>
      </c>
      <c r="CE35" s="50">
        <v>0</v>
      </c>
      <c r="CF35" s="50">
        <v>0</v>
      </c>
      <c r="CG35" s="50">
        <v>0</v>
      </c>
      <c r="CH35" s="50">
        <v>0</v>
      </c>
      <c r="CI35" s="50">
        <v>0</v>
      </c>
      <c r="CJ35" s="50">
        <v>0</v>
      </c>
      <c r="CK35" s="50">
        <v>0</v>
      </c>
      <c r="CL35" s="50">
        <v>0</v>
      </c>
      <c r="CM35" s="50">
        <v>0</v>
      </c>
      <c r="CN35" s="50">
        <v>0</v>
      </c>
      <c r="CO35" s="50">
        <v>0</v>
      </c>
      <c r="CP35" s="50">
        <v>0</v>
      </c>
      <c r="CQ35" s="50">
        <v>0</v>
      </c>
      <c r="CR35" s="50">
        <v>0</v>
      </c>
      <c r="CS35" s="50">
        <v>0</v>
      </c>
      <c r="CT35" s="50">
        <v>0</v>
      </c>
      <c r="CU35" s="50">
        <v>0</v>
      </c>
      <c r="CV35" s="50">
        <v>0</v>
      </c>
      <c r="CW35" s="50">
        <v>0</v>
      </c>
      <c r="CX35" s="50">
        <v>0</v>
      </c>
      <c r="CY35" s="50">
        <v>0</v>
      </c>
      <c r="CZ35" s="50">
        <v>0</v>
      </c>
      <c r="DA35" s="50">
        <v>0</v>
      </c>
      <c r="DB35" s="50">
        <v>0</v>
      </c>
      <c r="DC35" s="50">
        <v>0</v>
      </c>
      <c r="DD35" s="50">
        <v>0</v>
      </c>
      <c r="DE35" s="50">
        <v>0</v>
      </c>
      <c r="DF35" s="50">
        <v>0</v>
      </c>
      <c r="DG35" s="50">
        <v>0</v>
      </c>
      <c r="DH35" s="50">
        <v>0</v>
      </c>
      <c r="DI35" s="50">
        <v>0</v>
      </c>
      <c r="DJ35" s="50">
        <v>0</v>
      </c>
      <c r="DK35" s="50">
        <v>0</v>
      </c>
      <c r="DL35" s="50">
        <v>0</v>
      </c>
      <c r="DM35" s="50">
        <v>0</v>
      </c>
      <c r="DN35" s="50">
        <v>0</v>
      </c>
      <c r="DO35" s="50">
        <v>0</v>
      </c>
      <c r="DP35" s="50">
        <v>0</v>
      </c>
      <c r="DQ35" s="51">
        <v>0</v>
      </c>
      <c r="DR35" s="52">
        <v>0</v>
      </c>
      <c r="DS35" s="53">
        <v>0</v>
      </c>
      <c r="DT35" s="54">
        <v>0</v>
      </c>
      <c r="DU35" s="51">
        <v>0</v>
      </c>
      <c r="DV35" s="52">
        <v>0</v>
      </c>
      <c r="DW35" s="53">
        <v>0</v>
      </c>
      <c r="DX35" s="54">
        <v>0</v>
      </c>
      <c r="DY35" s="51">
        <v>0</v>
      </c>
      <c r="DZ35" s="52">
        <v>0</v>
      </c>
      <c r="EA35" s="53">
        <v>0</v>
      </c>
      <c r="EB35" s="54">
        <v>0</v>
      </c>
      <c r="EC35" s="51">
        <v>0</v>
      </c>
      <c r="ED35" s="52">
        <v>0</v>
      </c>
      <c r="EE35" s="53">
        <v>0</v>
      </c>
      <c r="EF35" s="52">
        <v>0</v>
      </c>
      <c r="EG35" s="53">
        <v>0</v>
      </c>
      <c r="EH35" s="54">
        <v>0</v>
      </c>
      <c r="EI35" s="53">
        <v>0</v>
      </c>
      <c r="EJ35" s="54">
        <v>0</v>
      </c>
      <c r="EK35" s="53">
        <v>0</v>
      </c>
      <c r="EL35" s="52">
        <v>0</v>
      </c>
      <c r="EM35" s="55">
        <v>0</v>
      </c>
      <c r="EN35" s="52">
        <v>0</v>
      </c>
      <c r="EO35" s="55">
        <v>0</v>
      </c>
      <c r="EP35" s="52">
        <v>0</v>
      </c>
      <c r="EQ35" s="55">
        <v>0</v>
      </c>
      <c r="ER35" s="52">
        <v>0</v>
      </c>
      <c r="ES35" s="55">
        <v>0</v>
      </c>
      <c r="ET35" s="52">
        <v>0</v>
      </c>
      <c r="EU35" s="55">
        <v>0</v>
      </c>
      <c r="EV35" s="52">
        <v>0</v>
      </c>
      <c r="EW35" s="55">
        <v>0</v>
      </c>
      <c r="EX35" s="52">
        <v>0</v>
      </c>
      <c r="EY35" s="55">
        <v>0</v>
      </c>
      <c r="EZ35" s="52">
        <v>0</v>
      </c>
      <c r="FA35" s="55">
        <v>0</v>
      </c>
      <c r="FB35" s="52">
        <v>0</v>
      </c>
      <c r="FC35" s="55">
        <v>0</v>
      </c>
      <c r="FD35" s="52">
        <v>0</v>
      </c>
      <c r="FE35" s="55">
        <v>0</v>
      </c>
      <c r="FF35" s="52">
        <v>0</v>
      </c>
      <c r="FG35" s="55">
        <v>0</v>
      </c>
      <c r="FH35" s="52">
        <v>0</v>
      </c>
      <c r="FI35" s="55">
        <v>0</v>
      </c>
      <c r="FJ35" s="52">
        <v>0</v>
      </c>
      <c r="FK35" s="55">
        <v>0</v>
      </c>
      <c r="FL35" s="52">
        <v>0</v>
      </c>
      <c r="FM35" s="55">
        <v>0</v>
      </c>
      <c r="FN35" s="52">
        <v>0</v>
      </c>
      <c r="FO35" s="55">
        <v>0</v>
      </c>
      <c r="FP35" s="52">
        <v>0</v>
      </c>
      <c r="FQ35" s="55">
        <v>0</v>
      </c>
      <c r="FR35" s="52">
        <v>0</v>
      </c>
      <c r="FS35" s="55">
        <v>0</v>
      </c>
      <c r="FT35" s="52">
        <v>0</v>
      </c>
      <c r="FU35" s="55">
        <v>0</v>
      </c>
      <c r="FV35" s="52">
        <v>0</v>
      </c>
      <c r="FW35" s="55">
        <v>0</v>
      </c>
      <c r="FX35" s="52">
        <v>0</v>
      </c>
      <c r="FY35" s="55">
        <v>0</v>
      </c>
      <c r="FZ35" s="52">
        <v>0</v>
      </c>
      <c r="GA35" s="55">
        <v>0</v>
      </c>
      <c r="GB35" s="52">
        <v>0</v>
      </c>
      <c r="GC35" s="55">
        <v>0</v>
      </c>
      <c r="GD35" s="52">
        <v>0</v>
      </c>
      <c r="GE35" s="55">
        <v>0</v>
      </c>
      <c r="GF35" s="52">
        <v>0</v>
      </c>
      <c r="GG35" s="55">
        <v>0</v>
      </c>
      <c r="GH35" s="52">
        <v>0</v>
      </c>
      <c r="GI35" s="55">
        <v>0</v>
      </c>
      <c r="GJ35" s="52">
        <v>0</v>
      </c>
      <c r="GK35" s="55">
        <v>0</v>
      </c>
      <c r="GL35" s="52">
        <v>0</v>
      </c>
      <c r="GM35" s="55">
        <v>0</v>
      </c>
      <c r="GN35" s="52">
        <v>0</v>
      </c>
      <c r="GO35" s="55">
        <v>0</v>
      </c>
      <c r="GP35" s="52">
        <v>0</v>
      </c>
      <c r="GQ35" s="55">
        <v>0</v>
      </c>
      <c r="GR35" s="52">
        <v>0</v>
      </c>
      <c r="GS35" s="55">
        <v>0</v>
      </c>
      <c r="GT35" s="52">
        <v>42.5</v>
      </c>
      <c r="GU35" s="55">
        <v>0</v>
      </c>
      <c r="GV35" s="52">
        <v>42.5</v>
      </c>
      <c r="GW35" s="55">
        <v>0</v>
      </c>
      <c r="GX35" s="52">
        <v>42.5</v>
      </c>
      <c r="GY35" s="55">
        <v>0</v>
      </c>
      <c r="GZ35" s="52">
        <v>42.5</v>
      </c>
      <c r="HA35" s="55">
        <v>0</v>
      </c>
      <c r="HB35" s="52">
        <v>42.5</v>
      </c>
      <c r="HC35" s="55">
        <v>0</v>
      </c>
      <c r="HD35" s="52">
        <v>74.672499999999999</v>
      </c>
      <c r="HE35" s="55">
        <v>0</v>
      </c>
      <c r="HF35" s="52">
        <v>74.672499999999999</v>
      </c>
      <c r="HG35" s="55">
        <v>0</v>
      </c>
      <c r="HH35" s="52">
        <v>74.672499999999999</v>
      </c>
      <c r="HI35" s="55">
        <v>0</v>
      </c>
      <c r="HJ35" s="52">
        <v>0</v>
      </c>
      <c r="HK35" s="55">
        <v>0</v>
      </c>
      <c r="HL35" s="52">
        <v>0</v>
      </c>
      <c r="HM35" s="55">
        <v>0</v>
      </c>
      <c r="HN35" s="52">
        <v>0</v>
      </c>
      <c r="HO35" s="55">
        <v>0</v>
      </c>
      <c r="HP35" s="52">
        <v>0</v>
      </c>
      <c r="HQ35" s="55">
        <v>0</v>
      </c>
      <c r="HR35" s="52">
        <v>40.375</v>
      </c>
      <c r="HS35" s="55">
        <v>0</v>
      </c>
      <c r="HT35" s="52">
        <v>40.375</v>
      </c>
      <c r="HU35" s="55">
        <v>0</v>
      </c>
      <c r="HV35" s="52">
        <v>40.375</v>
      </c>
      <c r="HW35" s="55">
        <v>0</v>
      </c>
      <c r="HX35" s="52">
        <v>40.375</v>
      </c>
      <c r="HY35" s="55">
        <v>0</v>
      </c>
      <c r="HZ35" s="52">
        <v>82.268590000000003</v>
      </c>
      <c r="IA35" s="55">
        <v>0</v>
      </c>
      <c r="IB35" s="17" t="s">
        <v>70</v>
      </c>
    </row>
    <row r="36" spans="1:239" s="9" customFormat="1" ht="22.5" customHeight="1" x14ac:dyDescent="0.4">
      <c r="A36" s="14" t="s">
        <v>71</v>
      </c>
      <c r="B36" s="44">
        <f t="shared" ref="B36:BM36" si="263">SUM(B37:B45)</f>
        <v>4007.2098199999996</v>
      </c>
      <c r="C36" s="44">
        <f t="shared" si="263"/>
        <v>310.23735000000005</v>
      </c>
      <c r="D36" s="44">
        <f t="shared" si="263"/>
        <v>5722.8748050000004</v>
      </c>
      <c r="E36" s="44">
        <f t="shared" si="263"/>
        <v>339.58450000000005</v>
      </c>
      <c r="F36" s="44">
        <f t="shared" si="263"/>
        <v>7524.0463599999994</v>
      </c>
      <c r="G36" s="44">
        <f t="shared" si="263"/>
        <v>376.04867000000002</v>
      </c>
      <c r="H36" s="44">
        <f t="shared" si="263"/>
        <v>8574.6159699999989</v>
      </c>
      <c r="I36" s="44">
        <f t="shared" si="263"/>
        <v>1164.9820999999997</v>
      </c>
      <c r="J36" s="44">
        <f t="shared" si="263"/>
        <v>10330.503639999999</v>
      </c>
      <c r="K36" s="44">
        <f t="shared" si="263"/>
        <v>1971.8677399999997</v>
      </c>
      <c r="L36" s="44">
        <f t="shared" si="263"/>
        <v>11956.921200000001</v>
      </c>
      <c r="M36" s="44">
        <f t="shared" si="263"/>
        <v>2194.9429400000004</v>
      </c>
      <c r="N36" s="44">
        <f t="shared" si="263"/>
        <v>14962.540290000001</v>
      </c>
      <c r="O36" s="44">
        <f t="shared" si="263"/>
        <v>2163.2529800000002</v>
      </c>
      <c r="P36" s="44">
        <f t="shared" si="263"/>
        <v>15813.870880000002</v>
      </c>
      <c r="Q36" s="44">
        <f t="shared" si="263"/>
        <v>2171.5491599999996</v>
      </c>
      <c r="R36" s="44">
        <f t="shared" si="263"/>
        <v>16821.232970000001</v>
      </c>
      <c r="S36" s="44">
        <f t="shared" si="263"/>
        <v>2335.1783799999998</v>
      </c>
      <c r="T36" s="44">
        <f t="shared" si="263"/>
        <v>17820.821499999998</v>
      </c>
      <c r="U36" s="44">
        <f t="shared" si="263"/>
        <v>2343.0535399999999</v>
      </c>
      <c r="V36" s="44">
        <f t="shared" si="263"/>
        <v>18687.587629999995</v>
      </c>
      <c r="W36" s="44">
        <f t="shared" si="263"/>
        <v>2375.8506899999998</v>
      </c>
      <c r="X36" s="44">
        <f t="shared" si="263"/>
        <v>19310.327339999996</v>
      </c>
      <c r="Y36" s="44">
        <f t="shared" si="263"/>
        <v>2789.98605</v>
      </c>
      <c r="Z36" s="44">
        <f t="shared" si="263"/>
        <v>4102.4111400000002</v>
      </c>
      <c r="AA36" s="44">
        <f t="shared" si="263"/>
        <v>524.24099000000001</v>
      </c>
      <c r="AB36" s="44">
        <f t="shared" si="263"/>
        <v>5332.1992199999995</v>
      </c>
      <c r="AC36" s="44">
        <f t="shared" si="263"/>
        <v>527.69218000000001</v>
      </c>
      <c r="AD36" s="44">
        <f t="shared" si="263"/>
        <v>8146.5397399999993</v>
      </c>
      <c r="AE36" s="44">
        <f t="shared" si="263"/>
        <v>537.65356999999995</v>
      </c>
      <c r="AF36" s="44">
        <f t="shared" si="263"/>
        <v>9141.70478</v>
      </c>
      <c r="AG36" s="44">
        <f t="shared" si="263"/>
        <v>538.71283000000005</v>
      </c>
      <c r="AH36" s="44">
        <f t="shared" si="263"/>
        <v>10777.546330000001</v>
      </c>
      <c r="AI36" s="44">
        <f t="shared" si="263"/>
        <v>1156.6345600000002</v>
      </c>
      <c r="AJ36" s="44">
        <f t="shared" si="263"/>
        <v>11435.633400000001</v>
      </c>
      <c r="AK36" s="44">
        <f t="shared" si="263"/>
        <v>1431.9166000000002</v>
      </c>
      <c r="AL36" s="44">
        <f t="shared" si="263"/>
        <v>17910.739019999997</v>
      </c>
      <c r="AM36" s="44">
        <f t="shared" si="263"/>
        <v>1824.8860400000001</v>
      </c>
      <c r="AN36" s="44">
        <f t="shared" si="263"/>
        <v>18336.714989999997</v>
      </c>
      <c r="AO36" s="44">
        <f t="shared" si="263"/>
        <v>1830.1037700000002</v>
      </c>
      <c r="AP36" s="44">
        <f t="shared" si="263"/>
        <v>19306.012999999999</v>
      </c>
      <c r="AQ36" s="44">
        <f t="shared" si="263"/>
        <v>1833.1549000000002</v>
      </c>
      <c r="AR36" s="44">
        <f t="shared" si="263"/>
        <v>20213.81019</v>
      </c>
      <c r="AS36" s="44">
        <f t="shared" si="263"/>
        <v>1844.7320299999999</v>
      </c>
      <c r="AT36" s="44">
        <f t="shared" si="263"/>
        <v>20907.097440000001</v>
      </c>
      <c r="AU36" s="44">
        <f t="shared" si="263"/>
        <v>1848.1091600000002</v>
      </c>
      <c r="AV36" s="44">
        <f t="shared" si="263"/>
        <v>22375.039199999996</v>
      </c>
      <c r="AW36" s="44">
        <f t="shared" si="263"/>
        <v>1954.5606500000001</v>
      </c>
      <c r="AX36" s="44">
        <f t="shared" si="263"/>
        <v>4134.1797099999994</v>
      </c>
      <c r="AY36" s="44">
        <f t="shared" si="263"/>
        <v>7.9892400000000006</v>
      </c>
      <c r="AZ36" s="44">
        <f t="shared" si="263"/>
        <v>6801.5297300000002</v>
      </c>
      <c r="BA36" s="44">
        <f t="shared" si="263"/>
        <v>205.07676000000001</v>
      </c>
      <c r="BB36" s="44">
        <f t="shared" si="263"/>
        <v>8257.4111799999991</v>
      </c>
      <c r="BC36" s="44">
        <f t="shared" si="263"/>
        <v>221.94525999999996</v>
      </c>
      <c r="BD36" s="44">
        <f t="shared" si="263"/>
        <v>10056.4434</v>
      </c>
      <c r="BE36" s="44">
        <f t="shared" si="263"/>
        <v>231.06691999999998</v>
      </c>
      <c r="BF36" s="44">
        <f t="shared" si="263"/>
        <v>11915.016800000001</v>
      </c>
      <c r="BG36" s="44">
        <f t="shared" si="263"/>
        <v>247.11976999999999</v>
      </c>
      <c r="BH36" s="44">
        <f t="shared" si="263"/>
        <v>12507.75598</v>
      </c>
      <c r="BI36" s="44">
        <f t="shared" si="263"/>
        <v>286.88394</v>
      </c>
      <c r="BJ36" s="44">
        <f t="shared" si="263"/>
        <v>15719.140810000001</v>
      </c>
      <c r="BK36" s="44">
        <f t="shared" si="263"/>
        <v>308.49394999999998</v>
      </c>
      <c r="BL36" s="44">
        <f t="shared" si="263"/>
        <v>16727.421100000003</v>
      </c>
      <c r="BM36" s="44">
        <f t="shared" si="263"/>
        <v>327.55477999999999</v>
      </c>
      <c r="BN36" s="44">
        <f t="shared" ref="BN36:DY36" si="264">SUM(BN37:BN45)</f>
        <v>17666.483090000002</v>
      </c>
      <c r="BO36" s="44">
        <f t="shared" si="264"/>
        <v>554.73452999999995</v>
      </c>
      <c r="BP36" s="44">
        <f t="shared" si="264"/>
        <v>19417.218559999998</v>
      </c>
      <c r="BQ36" s="44">
        <f t="shared" si="264"/>
        <v>572.40459999999996</v>
      </c>
      <c r="BR36" s="44">
        <f t="shared" si="264"/>
        <v>20212.483439999996</v>
      </c>
      <c r="BS36" s="44">
        <f t="shared" si="264"/>
        <v>1072.2487100000001</v>
      </c>
      <c r="BT36" s="44">
        <f t="shared" si="264"/>
        <v>20923.379279999997</v>
      </c>
      <c r="BU36" s="44">
        <f t="shared" si="264"/>
        <v>1083.70128</v>
      </c>
      <c r="BV36" s="44">
        <f t="shared" si="264"/>
        <v>4818.7464000000009</v>
      </c>
      <c r="BW36" s="44">
        <f t="shared" si="264"/>
        <v>13.72569</v>
      </c>
      <c r="BX36" s="44">
        <f t="shared" si="264"/>
        <v>7016.99298</v>
      </c>
      <c r="BY36" s="44">
        <f t="shared" si="264"/>
        <v>52.156710000000004</v>
      </c>
      <c r="BZ36" s="44">
        <f t="shared" si="264"/>
        <v>8685.7400999999991</v>
      </c>
      <c r="CA36" s="44">
        <f t="shared" si="264"/>
        <v>312.63512000000003</v>
      </c>
      <c r="CB36" s="44">
        <f t="shared" si="264"/>
        <v>10361.838969999999</v>
      </c>
      <c r="CC36" s="44">
        <f t="shared" si="264"/>
        <v>312.63512000000003</v>
      </c>
      <c r="CD36" s="44">
        <f t="shared" si="264"/>
        <v>12033.07172</v>
      </c>
      <c r="CE36" s="44">
        <f t="shared" si="264"/>
        <v>312.63512000000003</v>
      </c>
      <c r="CF36" s="44">
        <f t="shared" si="264"/>
        <v>13083.327120000002</v>
      </c>
      <c r="CG36" s="44">
        <f t="shared" si="264"/>
        <v>318.71498000000003</v>
      </c>
      <c r="CH36" s="44">
        <f t="shared" si="264"/>
        <v>16485.719839999998</v>
      </c>
      <c r="CI36" s="44">
        <f t="shared" si="264"/>
        <v>341.41798</v>
      </c>
      <c r="CJ36" s="44">
        <f t="shared" si="264"/>
        <v>16944.158890000002</v>
      </c>
      <c r="CK36" s="44">
        <f t="shared" si="264"/>
        <v>471.30398000000002</v>
      </c>
      <c r="CL36" s="44">
        <f t="shared" si="264"/>
        <v>18079.777820000003</v>
      </c>
      <c r="CM36" s="44">
        <f t="shared" si="264"/>
        <v>525.39897999999994</v>
      </c>
      <c r="CN36" s="44">
        <f t="shared" si="264"/>
        <v>18901.597170000001</v>
      </c>
      <c r="CO36" s="44">
        <f t="shared" si="264"/>
        <v>545.59298000000001</v>
      </c>
      <c r="CP36" s="44">
        <f t="shared" si="264"/>
        <v>19342.859660000006</v>
      </c>
      <c r="CQ36" s="44">
        <f t="shared" si="264"/>
        <v>557.23398000000009</v>
      </c>
      <c r="CR36" s="44">
        <f t="shared" si="264"/>
        <v>20829.01758</v>
      </c>
      <c r="CS36" s="44">
        <f t="shared" si="264"/>
        <v>576.70497999999998</v>
      </c>
      <c r="CT36" s="44">
        <f t="shared" si="264"/>
        <v>4408.2868500000004</v>
      </c>
      <c r="CU36" s="44">
        <f t="shared" si="264"/>
        <v>24.651</v>
      </c>
      <c r="CV36" s="44">
        <f t="shared" si="264"/>
        <v>6515.4442000000008</v>
      </c>
      <c r="CW36" s="44">
        <f t="shared" si="264"/>
        <v>36.306640000000002</v>
      </c>
      <c r="CX36" s="44">
        <f t="shared" si="264"/>
        <v>9728.7990900000004</v>
      </c>
      <c r="CY36" s="44">
        <f t="shared" si="264"/>
        <v>71.704610000000002</v>
      </c>
      <c r="CZ36" s="44">
        <f t="shared" si="264"/>
        <v>10499.32429</v>
      </c>
      <c r="DA36" s="44">
        <f t="shared" si="264"/>
        <v>104.51231</v>
      </c>
      <c r="DB36" s="44">
        <f t="shared" si="264"/>
        <v>11747.806239999998</v>
      </c>
      <c r="DC36" s="44">
        <f t="shared" si="264"/>
        <v>123.11041</v>
      </c>
      <c r="DD36" s="44">
        <f t="shared" si="264"/>
        <v>12638.165299999997</v>
      </c>
      <c r="DE36" s="44">
        <f t="shared" si="264"/>
        <v>162.74187000000001</v>
      </c>
      <c r="DF36" s="44">
        <f t="shared" si="264"/>
        <v>15937.69247</v>
      </c>
      <c r="DG36" s="44">
        <f t="shared" si="264"/>
        <v>300.03481999999997</v>
      </c>
      <c r="DH36" s="44">
        <f t="shared" si="264"/>
        <v>16446.534109999997</v>
      </c>
      <c r="DI36" s="44">
        <f t="shared" si="264"/>
        <v>334.13481999999999</v>
      </c>
      <c r="DJ36" s="44">
        <f t="shared" si="264"/>
        <v>17209.030089999997</v>
      </c>
      <c r="DK36" s="44">
        <f t="shared" si="264"/>
        <v>665.74893999999995</v>
      </c>
      <c r="DL36" s="44">
        <f t="shared" si="264"/>
        <v>17871.609400000001</v>
      </c>
      <c r="DM36" s="44">
        <f t="shared" si="264"/>
        <v>686.39427999999998</v>
      </c>
      <c r="DN36" s="44">
        <f t="shared" si="264"/>
        <v>18307.071289999996</v>
      </c>
      <c r="DO36" s="44">
        <f t="shared" si="264"/>
        <v>708.31655999999998</v>
      </c>
      <c r="DP36" s="44">
        <f t="shared" si="264"/>
        <v>20385.361029999996</v>
      </c>
      <c r="DQ36" s="45">
        <f t="shared" si="264"/>
        <v>731.08356000000003</v>
      </c>
      <c r="DR36" s="46">
        <f t="shared" si="264"/>
        <v>3842.0506399999999</v>
      </c>
      <c r="DS36" s="47">
        <f t="shared" si="264"/>
        <v>13.16451</v>
      </c>
      <c r="DT36" s="48">
        <f t="shared" si="264"/>
        <v>7170.1548499999999</v>
      </c>
      <c r="DU36" s="45">
        <f t="shared" si="264"/>
        <v>27.287700000000001</v>
      </c>
      <c r="DV36" s="46">
        <f t="shared" si="264"/>
        <v>8430.1750200000006</v>
      </c>
      <c r="DW36" s="47">
        <f t="shared" si="264"/>
        <v>41.7209</v>
      </c>
      <c r="DX36" s="48">
        <f t="shared" si="264"/>
        <v>9868.5779500000008</v>
      </c>
      <c r="DY36" s="45">
        <f t="shared" si="264"/>
        <v>47.669689999999996</v>
      </c>
      <c r="DZ36" s="46">
        <f t="shared" ref="DZ36:EM36" si="265">SUM(DZ37:DZ45)</f>
        <v>10651.777679999999</v>
      </c>
      <c r="EA36" s="47">
        <f t="shared" si="265"/>
        <v>50.66825</v>
      </c>
      <c r="EB36" s="48">
        <f t="shared" si="265"/>
        <v>13718.313410000001</v>
      </c>
      <c r="EC36" s="45">
        <f t="shared" si="265"/>
        <v>57.221420000000002</v>
      </c>
      <c r="ED36" s="46">
        <f t="shared" si="265"/>
        <v>16704.114960000003</v>
      </c>
      <c r="EE36" s="47">
        <f t="shared" si="265"/>
        <v>61.364850000000004</v>
      </c>
      <c r="EF36" s="45">
        <f t="shared" si="265"/>
        <v>18379.94184</v>
      </c>
      <c r="EG36" s="53">
        <f t="shared" si="265"/>
        <v>79.880809999999997</v>
      </c>
      <c r="EH36" s="46">
        <f t="shared" si="265"/>
        <v>19328.157629999998</v>
      </c>
      <c r="EI36" s="49">
        <f t="shared" si="265"/>
        <v>116.91659000000001</v>
      </c>
      <c r="EJ36" s="45">
        <f t="shared" si="265"/>
        <v>20309.592790000002</v>
      </c>
      <c r="EK36" s="47">
        <f t="shared" si="265"/>
        <v>88.452089999999998</v>
      </c>
      <c r="EL36" s="46">
        <f t="shared" si="265"/>
        <v>21232.065859999999</v>
      </c>
      <c r="EM36" s="49">
        <f t="shared" si="265"/>
        <v>88.452089999999998</v>
      </c>
      <c r="EN36" s="46">
        <f t="shared" ref="EN36:EO36" si="266">SUM(EN37:EN45)</f>
        <v>22317.036780000002</v>
      </c>
      <c r="EO36" s="49">
        <f t="shared" si="266"/>
        <v>89.030100000000004</v>
      </c>
      <c r="EP36" s="46">
        <f t="shared" ref="EP36:EQ36" si="267">SUM(EP37:EP45)</f>
        <v>2788.4713199999997</v>
      </c>
      <c r="EQ36" s="49">
        <f t="shared" si="267"/>
        <v>42.725490000000001</v>
      </c>
      <c r="ER36" s="46">
        <f t="shared" ref="ER36:ES36" si="268">SUM(ER37:ER45)</f>
        <v>4140.1430399999999</v>
      </c>
      <c r="ES36" s="49">
        <f t="shared" si="268"/>
        <v>73.242260000000002</v>
      </c>
      <c r="ET36" s="46">
        <f t="shared" ref="ET36:EU36" si="269">SUM(ET37:ET45)</f>
        <v>6319.5883800000001</v>
      </c>
      <c r="EU36" s="49">
        <f t="shared" si="269"/>
        <v>74.176419999999993</v>
      </c>
      <c r="EV36" s="46">
        <f t="shared" ref="EV36:EW36" si="270">SUM(EV37:EV45)</f>
        <v>8419.0248499999998</v>
      </c>
      <c r="EW36" s="49">
        <f t="shared" si="270"/>
        <v>80.540509999999998</v>
      </c>
      <c r="EX36" s="46">
        <f t="shared" ref="EX36:EY36" si="271">SUM(EX37:EX45)</f>
        <v>9248.7975800000022</v>
      </c>
      <c r="EY36" s="49">
        <f t="shared" si="271"/>
        <v>84.738510000000019</v>
      </c>
      <c r="EZ36" s="46">
        <f t="shared" ref="EZ36:FA36" si="272">SUM(EZ37:EZ45)</f>
        <v>11020.122750000002</v>
      </c>
      <c r="FA36" s="49">
        <f t="shared" si="272"/>
        <v>86.757510000000011</v>
      </c>
      <c r="FB36" s="46">
        <f t="shared" ref="FB36:FC36" si="273">SUM(FB37:FB45)</f>
        <v>16775.136080000004</v>
      </c>
      <c r="FC36" s="49">
        <f t="shared" si="273"/>
        <v>98.963149999999999</v>
      </c>
      <c r="FD36" s="46">
        <f t="shared" ref="FD36:FE36" si="274">SUM(FD37:FD45)</f>
        <v>17894.36608</v>
      </c>
      <c r="FE36" s="49">
        <f t="shared" si="274"/>
        <v>128.61255</v>
      </c>
      <c r="FF36" s="46">
        <f t="shared" ref="FF36:FG36" si="275">SUM(FF37:FF45)</f>
        <v>19026.592530000002</v>
      </c>
      <c r="FG36" s="49">
        <f t="shared" si="275"/>
        <v>136.75788</v>
      </c>
      <c r="FH36" s="46">
        <f t="shared" ref="FH36:FI36" si="276">SUM(FH37:FH45)</f>
        <v>21637.827909999996</v>
      </c>
      <c r="FI36" s="49">
        <f t="shared" si="276"/>
        <v>136.75788</v>
      </c>
      <c r="FJ36" s="46">
        <f t="shared" ref="FJ36:FK36" si="277">SUM(FJ37:FJ45)</f>
        <v>22759.239289999998</v>
      </c>
      <c r="FK36" s="49">
        <f t="shared" si="277"/>
        <v>140.23246</v>
      </c>
      <c r="FL36" s="46">
        <f t="shared" ref="FL36:FM36" si="278">SUM(FL37:FL45)</f>
        <v>23846.994500000001</v>
      </c>
      <c r="FM36" s="49">
        <f t="shared" si="278"/>
        <v>176.48219</v>
      </c>
      <c r="FN36" s="46">
        <f t="shared" ref="FN36:FS36" si="279">SUM(FN37:FN45)</f>
        <v>3801.1730899999998</v>
      </c>
      <c r="FO36" s="49">
        <f t="shared" si="279"/>
        <v>0.75992000000000004</v>
      </c>
      <c r="FP36" s="46">
        <f t="shared" si="279"/>
        <v>5254.5899199999994</v>
      </c>
      <c r="FQ36" s="49">
        <f t="shared" si="279"/>
        <v>14.169419999999999</v>
      </c>
      <c r="FR36" s="46">
        <f t="shared" si="279"/>
        <v>7756.4135500000011</v>
      </c>
      <c r="FS36" s="49">
        <f t="shared" si="279"/>
        <v>28.93618</v>
      </c>
      <c r="FT36" s="46">
        <f t="shared" ref="FT36:FU36" si="280">SUM(FT37:FT45)</f>
        <v>9784.3209300000017</v>
      </c>
      <c r="FU36" s="49">
        <f t="shared" si="280"/>
        <v>43.821179999999998</v>
      </c>
      <c r="FV36" s="46">
        <f t="shared" ref="FV36:FW36" si="281">SUM(FV37:FV45)</f>
        <v>11144.537660000002</v>
      </c>
      <c r="FW36" s="49">
        <f t="shared" si="281"/>
        <v>43.821179999999998</v>
      </c>
      <c r="FX36" s="46">
        <f t="shared" ref="FX36:FY36" si="282">SUM(FX37:FX45)</f>
        <v>11937.88457</v>
      </c>
      <c r="FY36" s="49">
        <f t="shared" si="282"/>
        <v>82.07119999999999</v>
      </c>
      <c r="FZ36" s="46">
        <f t="shared" ref="FZ36:GA36" si="283">SUM(FZ37:FZ45)</f>
        <v>14822.272509999999</v>
      </c>
      <c r="GA36" s="49">
        <f t="shared" si="283"/>
        <v>83.846199999999996</v>
      </c>
      <c r="GB36" s="46">
        <f t="shared" ref="GB36:GE36" si="284">SUM(GB37:GB45)</f>
        <v>16059.167380000001</v>
      </c>
      <c r="GC36" s="49">
        <f t="shared" si="284"/>
        <v>96.289979999999986</v>
      </c>
      <c r="GD36" s="46">
        <f t="shared" si="284"/>
        <v>17155.237219999999</v>
      </c>
      <c r="GE36" s="49">
        <f t="shared" si="284"/>
        <v>119.20908</v>
      </c>
      <c r="GF36" s="46">
        <f t="shared" ref="GF36:GG36" si="285">SUM(GF37:GF45)</f>
        <v>18084.565180000001</v>
      </c>
      <c r="GG36" s="49">
        <f t="shared" si="285"/>
        <v>123.381</v>
      </c>
      <c r="GH36" s="46">
        <f t="shared" ref="GH36:GI36" si="286">SUM(GH37:GH45)</f>
        <v>19312.651449999998</v>
      </c>
      <c r="GI36" s="49">
        <f t="shared" si="286"/>
        <v>127.60590999999999</v>
      </c>
      <c r="GJ36" s="46">
        <f t="shared" ref="GJ36:GK36" si="287">SUM(GJ37:GJ45)</f>
        <v>23038.737729999997</v>
      </c>
      <c r="GK36" s="49">
        <f t="shared" si="287"/>
        <v>306.06341000000003</v>
      </c>
      <c r="GL36" s="46">
        <f t="shared" ref="GL36:GQ36" si="288">SUM(GL37:GL45)</f>
        <v>2549.1629400000006</v>
      </c>
      <c r="GM36" s="49">
        <f t="shared" si="288"/>
        <v>1.669</v>
      </c>
      <c r="GN36" s="46">
        <f t="shared" si="288"/>
        <v>6141.3917399999991</v>
      </c>
      <c r="GO36" s="49">
        <f t="shared" si="288"/>
        <v>18.433399999999999</v>
      </c>
      <c r="GP36" s="46">
        <f t="shared" si="288"/>
        <v>8496.3503599999985</v>
      </c>
      <c r="GQ36" s="49">
        <f t="shared" si="288"/>
        <v>25.608509999999999</v>
      </c>
      <c r="GR36" s="46">
        <f t="shared" ref="GR36:GS36" si="289">SUM(GR37:GR45)</f>
        <v>10620.214199999999</v>
      </c>
      <c r="GS36" s="49">
        <f t="shared" si="289"/>
        <v>30.015509999999999</v>
      </c>
      <c r="GT36" s="46">
        <f t="shared" ref="GT36:GU36" si="290">SUM(GT37:GT45)</f>
        <v>11499.742880000002</v>
      </c>
      <c r="GU36" s="49">
        <f t="shared" si="290"/>
        <v>35.12341</v>
      </c>
      <c r="GV36" s="46">
        <f t="shared" ref="GV36:GW36" si="291">SUM(GV37:GV45)</f>
        <v>12838.151440000001</v>
      </c>
      <c r="GW36" s="49">
        <f t="shared" si="291"/>
        <v>38.023410000000005</v>
      </c>
      <c r="GX36" s="46">
        <f t="shared" ref="GX36:GY36" si="292">SUM(GX37:GX45)</f>
        <v>19020.950649999995</v>
      </c>
      <c r="GY36" s="49">
        <f t="shared" si="292"/>
        <v>47.534729999999996</v>
      </c>
      <c r="GZ36" s="46">
        <f t="shared" ref="GZ36:HA36" si="293">SUM(GZ37:GZ45)</f>
        <v>20180.92439</v>
      </c>
      <c r="HA36" s="49">
        <f t="shared" si="293"/>
        <v>77.034729999999996</v>
      </c>
      <c r="HB36" s="46">
        <f t="shared" ref="HB36:HC36" si="294">SUM(HB37:HB45)</f>
        <v>22293.938259999999</v>
      </c>
      <c r="HC36" s="49">
        <f t="shared" si="294"/>
        <v>101.94302</v>
      </c>
      <c r="HD36" s="46">
        <f t="shared" ref="HD36:HE36" si="295">SUM(HD37:HD45)</f>
        <v>23656.612089999999</v>
      </c>
      <c r="HE36" s="49">
        <f t="shared" si="295"/>
        <v>111.16452</v>
      </c>
      <c r="HF36" s="46">
        <f t="shared" ref="HF36:HG36" si="296">SUM(HF37:HF45)</f>
        <v>25017.906039999998</v>
      </c>
      <c r="HG36" s="49">
        <f t="shared" si="296"/>
        <v>111.16452</v>
      </c>
      <c r="HH36" s="46">
        <f t="shared" ref="HH36:HI36" si="297">SUM(HH37:HH45)</f>
        <v>27724.714699999997</v>
      </c>
      <c r="HI36" s="49">
        <f t="shared" si="297"/>
        <v>111.16452</v>
      </c>
      <c r="HJ36" s="46">
        <f t="shared" ref="HJ36:HK36" si="298">SUM(HJ37:HJ45)</f>
        <v>2911.2185399999998</v>
      </c>
      <c r="HK36" s="49">
        <f t="shared" si="298"/>
        <v>11.807500000000001</v>
      </c>
      <c r="HL36" s="46">
        <f t="shared" ref="HL36:HM36" si="299">SUM(HL37:HL45)</f>
        <v>4897.5762800000011</v>
      </c>
      <c r="HM36" s="49">
        <f t="shared" si="299"/>
        <v>21.198499999999999</v>
      </c>
      <c r="HN36" s="46">
        <f t="shared" ref="HN36:HO36" si="300">SUM(HN37:HN45)</f>
        <v>7930.4816800000008</v>
      </c>
      <c r="HO36" s="49">
        <f t="shared" si="300"/>
        <v>25.983499999999999</v>
      </c>
      <c r="HP36" s="46">
        <f t="shared" ref="HP36:HQ36" si="301">SUM(HP37:HP45)</f>
        <v>11740.010260000001</v>
      </c>
      <c r="HQ36" s="49">
        <f t="shared" si="301"/>
        <v>30.448499999999999</v>
      </c>
      <c r="HR36" s="46">
        <f t="shared" ref="HR36:HS36" si="302">SUM(HR37:HR45)</f>
        <v>12824.842259999999</v>
      </c>
      <c r="HS36" s="49">
        <f t="shared" si="302"/>
        <v>31.252099999999999</v>
      </c>
      <c r="HT36" s="46">
        <f t="shared" ref="HT36:HU36" si="303">SUM(HT37:HT45)</f>
        <v>16107.74028</v>
      </c>
      <c r="HU36" s="49">
        <f t="shared" si="303"/>
        <v>54.922069999999998</v>
      </c>
      <c r="HV36" s="46">
        <f t="shared" ref="HV36:HW36" si="304">SUM(HV37:HV45)</f>
        <v>19817.13795</v>
      </c>
      <c r="HW36" s="49">
        <f t="shared" si="304"/>
        <v>114.51755000000001</v>
      </c>
      <c r="HX36" s="46">
        <f t="shared" ref="HX36:HY36" si="305">SUM(HX37:HX45)</f>
        <v>22332.855159999999</v>
      </c>
      <c r="HY36" s="49">
        <f t="shared" si="305"/>
        <v>164.35597000000001</v>
      </c>
      <c r="HZ36" s="46">
        <f t="shared" ref="HZ36:IA36" si="306">SUM(HZ37:HZ45)</f>
        <v>24223.012780000001</v>
      </c>
      <c r="IA36" s="49">
        <f t="shared" si="306"/>
        <v>324.84656999999999</v>
      </c>
      <c r="IB36" s="14" t="s">
        <v>72</v>
      </c>
    </row>
    <row r="37" spans="1:239" s="9" customFormat="1" ht="22.5" customHeight="1" x14ac:dyDescent="0.4">
      <c r="A37" s="15" t="s">
        <v>73</v>
      </c>
      <c r="B37" s="50">
        <v>2192.1478999999999</v>
      </c>
      <c r="C37" s="50">
        <v>0</v>
      </c>
      <c r="D37" s="50">
        <v>2192.1478999999999</v>
      </c>
      <c r="E37" s="50">
        <v>0</v>
      </c>
      <c r="F37" s="50">
        <v>2192.1478999999999</v>
      </c>
      <c r="G37" s="50">
        <v>0</v>
      </c>
      <c r="H37" s="50">
        <v>2222.96875</v>
      </c>
      <c r="I37" s="50">
        <v>766.39499999999998</v>
      </c>
      <c r="J37" s="50">
        <v>2222.96875</v>
      </c>
      <c r="K37" s="50">
        <v>1532.61</v>
      </c>
      <c r="L37" s="50">
        <v>2270.3440799999998</v>
      </c>
      <c r="M37" s="50">
        <v>1532.79</v>
      </c>
      <c r="N37" s="50">
        <v>4452.0092000000004</v>
      </c>
      <c r="O37" s="50">
        <v>1532.61</v>
      </c>
      <c r="P37" s="50">
        <v>4383.5619500000003</v>
      </c>
      <c r="Q37" s="50">
        <v>1532.61</v>
      </c>
      <c r="R37" s="50">
        <v>4448.4119800000008</v>
      </c>
      <c r="S37" s="50">
        <v>1532.61</v>
      </c>
      <c r="T37" s="50">
        <v>4456.5962300000001</v>
      </c>
      <c r="U37" s="50">
        <v>1532.61</v>
      </c>
      <c r="V37" s="50">
        <v>4456.5962300000001</v>
      </c>
      <c r="W37" s="50">
        <v>1532.61</v>
      </c>
      <c r="X37" s="50">
        <v>4458.96461</v>
      </c>
      <c r="Y37" s="50">
        <v>1532.61</v>
      </c>
      <c r="Z37" s="50">
        <v>2013.4698999999998</v>
      </c>
      <c r="AA37" s="50">
        <v>315.17473999999999</v>
      </c>
      <c r="AB37" s="50">
        <v>2014.3199299999999</v>
      </c>
      <c r="AC37" s="50">
        <v>315.17473999999999</v>
      </c>
      <c r="AD37" s="50">
        <v>2014.3200200000001</v>
      </c>
      <c r="AE37" s="50">
        <v>315.17473999999999</v>
      </c>
      <c r="AF37" s="50">
        <v>2060.32006</v>
      </c>
      <c r="AG37" s="50">
        <v>299.87384000000003</v>
      </c>
      <c r="AH37" s="50">
        <v>2075.7885500000002</v>
      </c>
      <c r="AI37" s="50">
        <v>299.87384000000003</v>
      </c>
      <c r="AJ37" s="50">
        <v>2075.7885500000002</v>
      </c>
      <c r="AK37" s="50">
        <v>566.87414000000001</v>
      </c>
      <c r="AL37" s="50">
        <v>4305.2699199999997</v>
      </c>
      <c r="AM37" s="50">
        <v>566.87414000000001</v>
      </c>
      <c r="AN37" s="50">
        <v>4305.94992</v>
      </c>
      <c r="AO37" s="50">
        <v>566.87414000000001</v>
      </c>
      <c r="AP37" s="50">
        <v>4343.2579599999999</v>
      </c>
      <c r="AQ37" s="50">
        <v>566.84414000000004</v>
      </c>
      <c r="AR37" s="50">
        <v>4355.4599600000001</v>
      </c>
      <c r="AS37" s="50">
        <v>566.87414000000001</v>
      </c>
      <c r="AT37" s="50">
        <v>4371.0442199999998</v>
      </c>
      <c r="AU37" s="50">
        <v>566.87414000000001</v>
      </c>
      <c r="AV37" s="50">
        <v>4382.3787599999996</v>
      </c>
      <c r="AW37" s="50">
        <v>566.87414000000001</v>
      </c>
      <c r="AX37" s="50">
        <v>2098.7244999999998</v>
      </c>
      <c r="AY37" s="50">
        <v>0</v>
      </c>
      <c r="AZ37" s="50">
        <v>2114.2600000000002</v>
      </c>
      <c r="BA37" s="50">
        <v>0</v>
      </c>
      <c r="BB37" s="50">
        <v>2129.2600400000001</v>
      </c>
      <c r="BC37" s="50">
        <v>0</v>
      </c>
      <c r="BD37" s="50">
        <v>2129.2600400000001</v>
      </c>
      <c r="BE37" s="50">
        <v>0</v>
      </c>
      <c r="BF37" s="50">
        <v>2129.2600400000001</v>
      </c>
      <c r="BG37" s="50">
        <v>0</v>
      </c>
      <c r="BH37" s="50">
        <v>2180.11724</v>
      </c>
      <c r="BI37" s="50">
        <v>0</v>
      </c>
      <c r="BJ37" s="50">
        <v>4794.1538099999998</v>
      </c>
      <c r="BK37" s="50">
        <v>0</v>
      </c>
      <c r="BL37" s="50">
        <v>4794.1545400000005</v>
      </c>
      <c r="BM37" s="50">
        <v>6.3639299999999999</v>
      </c>
      <c r="BN37" s="50">
        <v>4806.9232099999999</v>
      </c>
      <c r="BO37" s="50">
        <v>45.654319999999998</v>
      </c>
      <c r="BP37" s="50">
        <v>4806.9232099999999</v>
      </c>
      <c r="BQ37" s="50">
        <v>45.654309999999995</v>
      </c>
      <c r="BR37" s="50">
        <v>4806.9232099999999</v>
      </c>
      <c r="BS37" s="50">
        <v>538.65431000000001</v>
      </c>
      <c r="BT37" s="50">
        <v>4807.7681399999992</v>
      </c>
      <c r="BU37" s="50">
        <v>538.65431000000001</v>
      </c>
      <c r="BV37" s="50">
        <v>2426.9254300000002</v>
      </c>
      <c r="BW37" s="50">
        <v>0</v>
      </c>
      <c r="BX37" s="50">
        <v>2453.3059700000003</v>
      </c>
      <c r="BY37" s="50">
        <v>0</v>
      </c>
      <c r="BZ37" s="50">
        <v>2468.3057999999996</v>
      </c>
      <c r="CA37" s="50">
        <v>242.54192</v>
      </c>
      <c r="CB37" s="50">
        <v>2468.3057899999999</v>
      </c>
      <c r="CC37" s="50">
        <v>242.54192</v>
      </c>
      <c r="CD37" s="50">
        <v>2468.3057899999999</v>
      </c>
      <c r="CE37" s="50">
        <v>242.54192</v>
      </c>
      <c r="CF37" s="50">
        <v>2468.3057899999999</v>
      </c>
      <c r="CG37" s="50">
        <v>242.54192</v>
      </c>
      <c r="CH37" s="50">
        <v>4854.9434600000004</v>
      </c>
      <c r="CI37" s="50">
        <v>242.54192</v>
      </c>
      <c r="CJ37" s="50">
        <v>4854.9411799999998</v>
      </c>
      <c r="CK37" s="50">
        <v>242.54192</v>
      </c>
      <c r="CL37" s="50">
        <v>4854.9430199999997</v>
      </c>
      <c r="CM37" s="50">
        <v>242.54192</v>
      </c>
      <c r="CN37" s="50">
        <v>4849.4731900000006</v>
      </c>
      <c r="CO37" s="50">
        <v>242.54192</v>
      </c>
      <c r="CP37" s="50">
        <v>4853.3659200000002</v>
      </c>
      <c r="CQ37" s="50">
        <v>242.54192</v>
      </c>
      <c r="CR37" s="50">
        <v>4853.3659200000002</v>
      </c>
      <c r="CS37" s="50">
        <v>242.54192</v>
      </c>
      <c r="CT37" s="50">
        <v>2181.96387</v>
      </c>
      <c r="CU37" s="50">
        <v>0</v>
      </c>
      <c r="CV37" s="50">
        <v>2181.96387</v>
      </c>
      <c r="CW37" s="50">
        <v>0</v>
      </c>
      <c r="CX37" s="50">
        <v>2214.8210299999996</v>
      </c>
      <c r="CY37" s="50">
        <v>0</v>
      </c>
      <c r="CZ37" s="50">
        <v>2214.8210299999996</v>
      </c>
      <c r="DA37" s="50">
        <v>0</v>
      </c>
      <c r="DB37" s="50">
        <v>2214.8210299999996</v>
      </c>
      <c r="DC37" s="50">
        <v>0</v>
      </c>
      <c r="DD37" s="50">
        <v>2214.8210299999996</v>
      </c>
      <c r="DE37" s="50">
        <v>0</v>
      </c>
      <c r="DF37" s="50">
        <v>4837.8907099999997</v>
      </c>
      <c r="DG37" s="50">
        <v>0</v>
      </c>
      <c r="DH37" s="50">
        <v>4837.8898099999997</v>
      </c>
      <c r="DI37" s="50">
        <v>0</v>
      </c>
      <c r="DJ37" s="50">
        <v>4866.89077</v>
      </c>
      <c r="DK37" s="50">
        <v>0</v>
      </c>
      <c r="DL37" s="50">
        <v>4866.89077</v>
      </c>
      <c r="DM37" s="50">
        <v>0</v>
      </c>
      <c r="DN37" s="50">
        <v>4866.89077</v>
      </c>
      <c r="DO37" s="50">
        <v>0</v>
      </c>
      <c r="DP37" s="50">
        <v>4866.89077</v>
      </c>
      <c r="DQ37" s="51">
        <v>0</v>
      </c>
      <c r="DR37" s="52">
        <v>1899.47696</v>
      </c>
      <c r="DS37" s="53">
        <v>0</v>
      </c>
      <c r="DT37" s="54">
        <v>1899.47686</v>
      </c>
      <c r="DU37" s="51">
        <v>0</v>
      </c>
      <c r="DV37" s="52">
        <v>1909.3431700000001</v>
      </c>
      <c r="DW37" s="53">
        <v>0</v>
      </c>
      <c r="DX37" s="54">
        <v>1909.3432</v>
      </c>
      <c r="DY37" s="51">
        <v>0</v>
      </c>
      <c r="DZ37" s="52">
        <v>1918.33134</v>
      </c>
      <c r="EA37" s="53">
        <v>0</v>
      </c>
      <c r="EB37" s="54">
        <v>3878.15434</v>
      </c>
      <c r="EC37" s="51">
        <v>0</v>
      </c>
      <c r="ED37" s="52">
        <v>6569.7774099999997</v>
      </c>
      <c r="EE37" s="53">
        <v>0</v>
      </c>
      <c r="EF37" s="52">
        <v>6627.17785</v>
      </c>
      <c r="EG37" s="53">
        <v>0</v>
      </c>
      <c r="EH37" s="54">
        <v>6627.1778599999998</v>
      </c>
      <c r="EI37" s="53">
        <v>0</v>
      </c>
      <c r="EJ37" s="54">
        <v>6627.1778599999998</v>
      </c>
      <c r="EK37" s="53">
        <v>0</v>
      </c>
      <c r="EL37" s="52">
        <v>6627.1778599999998</v>
      </c>
      <c r="EM37" s="55">
        <v>0</v>
      </c>
      <c r="EN37" s="52">
        <v>6776.8366400000004</v>
      </c>
      <c r="EO37" s="55">
        <v>0</v>
      </c>
      <c r="EP37" s="52">
        <v>68.729160000000007</v>
      </c>
      <c r="EQ37" s="55">
        <v>0</v>
      </c>
      <c r="ER37" s="52">
        <v>68.729160000000007</v>
      </c>
      <c r="ES37" s="55">
        <v>0</v>
      </c>
      <c r="ET37" s="52">
        <v>68.729159999999993</v>
      </c>
      <c r="EU37" s="55">
        <v>0</v>
      </c>
      <c r="EV37" s="52">
        <v>69.231899999999996</v>
      </c>
      <c r="EW37" s="55">
        <v>2.04</v>
      </c>
      <c r="EX37" s="52">
        <v>69.231899999999996</v>
      </c>
      <c r="EY37" s="55">
        <v>2.04</v>
      </c>
      <c r="EZ37" s="52">
        <v>69.231899999999996</v>
      </c>
      <c r="FA37" s="55">
        <v>2.04</v>
      </c>
      <c r="FB37" s="52">
        <v>4895.3865400000004</v>
      </c>
      <c r="FC37" s="55">
        <v>7.3416000000000006</v>
      </c>
      <c r="FD37" s="52">
        <v>4895.3865400000004</v>
      </c>
      <c r="FE37" s="55">
        <v>14.6601</v>
      </c>
      <c r="FF37" s="52">
        <v>4895.3865400000004</v>
      </c>
      <c r="FG37" s="55">
        <v>14.6601</v>
      </c>
      <c r="FH37" s="52">
        <v>4895.3865400000004</v>
      </c>
      <c r="FI37" s="55">
        <v>14.6601</v>
      </c>
      <c r="FJ37" s="52">
        <v>4980.6789399999998</v>
      </c>
      <c r="FK37" s="55">
        <v>14.6601</v>
      </c>
      <c r="FL37" s="52">
        <v>5028.1942300000001</v>
      </c>
      <c r="FM37" s="55">
        <v>14.6601</v>
      </c>
      <c r="FN37" s="52">
        <v>0</v>
      </c>
      <c r="FO37" s="55">
        <v>0</v>
      </c>
      <c r="FP37" s="52">
        <v>0</v>
      </c>
      <c r="FQ37" s="55">
        <v>0</v>
      </c>
      <c r="FR37" s="52">
        <v>49.3459</v>
      </c>
      <c r="FS37" s="55">
        <v>0</v>
      </c>
      <c r="FT37" s="52">
        <v>49.3459</v>
      </c>
      <c r="FU37" s="55">
        <v>0</v>
      </c>
      <c r="FV37" s="52">
        <v>49.3459</v>
      </c>
      <c r="FW37" s="55">
        <v>0</v>
      </c>
      <c r="FX37" s="52">
        <v>49.3459</v>
      </c>
      <c r="FY37" s="55">
        <v>4.8408199999999999</v>
      </c>
      <c r="FZ37" s="52">
        <v>795.36590000000001</v>
      </c>
      <c r="GA37" s="55">
        <v>4.8408199999999999</v>
      </c>
      <c r="GB37" s="52">
        <v>795.36590000000001</v>
      </c>
      <c r="GC37" s="55">
        <v>6.5757199999999996</v>
      </c>
      <c r="GD37" s="52">
        <v>795.36595</v>
      </c>
      <c r="GE37" s="55">
        <v>6.5757199999999996</v>
      </c>
      <c r="GF37" s="52">
        <v>795.36595</v>
      </c>
      <c r="GG37" s="55">
        <v>6.5757199999999996</v>
      </c>
      <c r="GH37" s="52">
        <v>795.36595</v>
      </c>
      <c r="GI37" s="55">
        <v>6.5757199999999996</v>
      </c>
      <c r="GJ37" s="52">
        <v>795.36595</v>
      </c>
      <c r="GK37" s="55">
        <v>6.5757199999999996</v>
      </c>
      <c r="GL37" s="52">
        <v>0</v>
      </c>
      <c r="GM37" s="55">
        <v>0</v>
      </c>
      <c r="GN37" s="52">
        <v>0</v>
      </c>
      <c r="GO37" s="55">
        <v>0</v>
      </c>
      <c r="GP37" s="52">
        <v>0</v>
      </c>
      <c r="GQ37" s="55">
        <v>0</v>
      </c>
      <c r="GR37" s="52">
        <v>0</v>
      </c>
      <c r="GS37" s="55">
        <v>0</v>
      </c>
      <c r="GT37" s="52">
        <v>0</v>
      </c>
      <c r="GU37" s="55">
        <v>0</v>
      </c>
      <c r="GV37" s="52">
        <v>0</v>
      </c>
      <c r="GW37" s="55">
        <v>0</v>
      </c>
      <c r="GX37" s="52">
        <v>3776.2805800000001</v>
      </c>
      <c r="GY37" s="55">
        <v>0</v>
      </c>
      <c r="GZ37" s="52">
        <v>3776.2827200000002</v>
      </c>
      <c r="HA37" s="55">
        <v>0</v>
      </c>
      <c r="HB37" s="52">
        <v>3776.2827200000002</v>
      </c>
      <c r="HC37" s="55">
        <v>0</v>
      </c>
      <c r="HD37" s="52">
        <v>3776.2827200000002</v>
      </c>
      <c r="HE37" s="55">
        <v>0</v>
      </c>
      <c r="HF37" s="52">
        <v>3776.2827200000002</v>
      </c>
      <c r="HG37" s="55">
        <v>0</v>
      </c>
      <c r="HH37" s="52">
        <v>3946.328</v>
      </c>
      <c r="HI37" s="55">
        <v>0</v>
      </c>
      <c r="HJ37" s="52">
        <v>0</v>
      </c>
      <c r="HK37" s="55">
        <v>0</v>
      </c>
      <c r="HL37" s="52">
        <v>0</v>
      </c>
      <c r="HM37" s="55">
        <v>0</v>
      </c>
      <c r="HN37" s="52">
        <v>9.452</v>
      </c>
      <c r="HO37" s="55">
        <v>0</v>
      </c>
      <c r="HP37" s="52">
        <v>21.605309999999999</v>
      </c>
      <c r="HQ37" s="55">
        <v>0</v>
      </c>
      <c r="HR37" s="52">
        <v>402.56988000000001</v>
      </c>
      <c r="HS37" s="55">
        <v>0</v>
      </c>
      <c r="HT37" s="52">
        <v>402.56988000000001</v>
      </c>
      <c r="HU37" s="55">
        <v>1.3498000000000001</v>
      </c>
      <c r="HV37" s="52">
        <v>1013.36817</v>
      </c>
      <c r="HW37" s="55">
        <v>1.3498000000000001</v>
      </c>
      <c r="HX37" s="52">
        <v>1013.36817</v>
      </c>
      <c r="HY37" s="55">
        <v>1.3498000000000001</v>
      </c>
      <c r="HZ37" s="52">
        <v>1013.36817</v>
      </c>
      <c r="IA37" s="55">
        <v>1.3498000000000001</v>
      </c>
      <c r="IB37" s="16" t="s">
        <v>74</v>
      </c>
    </row>
    <row r="38" spans="1:239" s="9" customFormat="1" ht="22.5" customHeight="1" x14ac:dyDescent="0.4">
      <c r="A38" s="15" t="s">
        <v>75</v>
      </c>
      <c r="B38" s="50">
        <v>1493.39013</v>
      </c>
      <c r="C38" s="50">
        <v>300.6952</v>
      </c>
      <c r="D38" s="50">
        <v>2814.5426849999999</v>
      </c>
      <c r="E38" s="50">
        <v>301.36020000000002</v>
      </c>
      <c r="F38" s="50">
        <v>4168.5382900000004</v>
      </c>
      <c r="G38" s="50">
        <v>309.68020000000001</v>
      </c>
      <c r="H38" s="50">
        <v>4641.1950199999992</v>
      </c>
      <c r="I38" s="50">
        <v>312.18059999999997</v>
      </c>
      <c r="J38" s="50">
        <v>5417.8179700000001</v>
      </c>
      <c r="K38" s="50">
        <v>314.3236</v>
      </c>
      <c r="L38" s="50">
        <v>6641.5813200000002</v>
      </c>
      <c r="M38" s="50">
        <v>541.18502999999998</v>
      </c>
      <c r="N38" s="50">
        <v>7160.3629000000001</v>
      </c>
      <c r="O38" s="50">
        <v>506.29290000000003</v>
      </c>
      <c r="P38" s="50">
        <v>7750.3819800000001</v>
      </c>
      <c r="Q38" s="50">
        <v>508.34590999999995</v>
      </c>
      <c r="R38" s="50">
        <v>8280.0283500000005</v>
      </c>
      <c r="S38" s="50">
        <v>658.73298</v>
      </c>
      <c r="T38" s="50">
        <v>8940.0268599999999</v>
      </c>
      <c r="U38" s="50">
        <v>661.85298</v>
      </c>
      <c r="V38" s="50">
        <v>9635.3408500000005</v>
      </c>
      <c r="W38" s="50">
        <v>662.51797999999997</v>
      </c>
      <c r="X38" s="50">
        <v>10229.187039999999</v>
      </c>
      <c r="Y38" s="50">
        <v>1070.4411699999998</v>
      </c>
      <c r="Z38" s="50">
        <v>1624.5981200000001</v>
      </c>
      <c r="AA38" s="50">
        <v>185.51142000000002</v>
      </c>
      <c r="AB38" s="50">
        <v>2012.8513799999998</v>
      </c>
      <c r="AC38" s="50">
        <v>187.11519000000001</v>
      </c>
      <c r="AD38" s="50">
        <v>4495.72379</v>
      </c>
      <c r="AE38" s="50">
        <v>188.43742</v>
      </c>
      <c r="AF38" s="50">
        <v>5010.5318899999993</v>
      </c>
      <c r="AG38" s="50">
        <v>198.18542000000002</v>
      </c>
      <c r="AH38" s="50">
        <v>5564.3333000000002</v>
      </c>
      <c r="AI38" s="50">
        <v>809.84180000000003</v>
      </c>
      <c r="AJ38" s="50">
        <v>6132.6157899999998</v>
      </c>
      <c r="AK38" s="50">
        <v>810.67193999999995</v>
      </c>
      <c r="AL38" s="50">
        <v>10114.01785</v>
      </c>
      <c r="AM38" s="50">
        <v>1194.66524</v>
      </c>
      <c r="AN38" s="50">
        <v>10366.57121</v>
      </c>
      <c r="AO38" s="50">
        <v>1195.33024</v>
      </c>
      <c r="AP38" s="50">
        <v>10843.89457</v>
      </c>
      <c r="AQ38" s="50">
        <v>1194.79024</v>
      </c>
      <c r="AR38" s="50">
        <v>11554.94845</v>
      </c>
      <c r="AS38" s="50">
        <v>1201.4402399999999</v>
      </c>
      <c r="AT38" s="50">
        <v>12013.211160000001</v>
      </c>
      <c r="AU38" s="50">
        <v>1202.1052400000001</v>
      </c>
      <c r="AV38" s="50">
        <v>13335.44283</v>
      </c>
      <c r="AW38" s="50">
        <v>1302.0046</v>
      </c>
      <c r="AX38" s="50">
        <v>1249.9401799999998</v>
      </c>
      <c r="AY38" s="50">
        <v>2.3740000000000001</v>
      </c>
      <c r="AZ38" s="50">
        <v>3517.7184900000002</v>
      </c>
      <c r="BA38" s="50">
        <v>189.76179999999999</v>
      </c>
      <c r="BB38" s="50">
        <v>4728.0005899999996</v>
      </c>
      <c r="BC38" s="50">
        <v>190.42679999999999</v>
      </c>
      <c r="BD38" s="50">
        <v>5934.7460499999997</v>
      </c>
      <c r="BE38" s="50">
        <v>191.09179999999998</v>
      </c>
      <c r="BF38" s="50">
        <v>6711.7563300000002</v>
      </c>
      <c r="BG38" s="50">
        <v>192.30679999999998</v>
      </c>
      <c r="BH38" s="50">
        <v>7097.4725699999999</v>
      </c>
      <c r="BI38" s="50">
        <v>207.30679999999998</v>
      </c>
      <c r="BJ38" s="50">
        <v>7592.9434299999994</v>
      </c>
      <c r="BK38" s="50">
        <v>207.67929999999998</v>
      </c>
      <c r="BL38" s="50">
        <v>8426.4071800000002</v>
      </c>
      <c r="BM38" s="50">
        <v>216.09648999999999</v>
      </c>
      <c r="BN38" s="50">
        <v>8914.6013400000011</v>
      </c>
      <c r="BO38" s="50">
        <v>402.65474</v>
      </c>
      <c r="BP38" s="50">
        <v>10414.993339999999</v>
      </c>
      <c r="BQ38" s="50">
        <v>417.91371000000004</v>
      </c>
      <c r="BR38" s="50">
        <v>10996.500779999998</v>
      </c>
      <c r="BS38" s="50">
        <v>441.96931999999998</v>
      </c>
      <c r="BT38" s="50">
        <v>11519.418029999999</v>
      </c>
      <c r="BU38" s="50">
        <v>425.41516999999999</v>
      </c>
      <c r="BV38" s="50">
        <v>1738.2919999999999</v>
      </c>
      <c r="BW38" s="50">
        <v>8.3759999999999994</v>
      </c>
      <c r="BX38" s="50">
        <v>3764.7366699999998</v>
      </c>
      <c r="BY38" s="50">
        <v>46.385910000000003</v>
      </c>
      <c r="BZ38" s="50">
        <v>4973.7375099999999</v>
      </c>
      <c r="CA38" s="50">
        <v>46.892449999999997</v>
      </c>
      <c r="CB38" s="50">
        <v>6471.33464</v>
      </c>
      <c r="CC38" s="50">
        <v>46.892449999999997</v>
      </c>
      <c r="CD38" s="50">
        <v>6806.2162900000003</v>
      </c>
      <c r="CE38" s="50">
        <v>46.892449999999997</v>
      </c>
      <c r="CF38" s="50">
        <v>7591.9668700000002</v>
      </c>
      <c r="CG38" s="50">
        <v>46.892449999999997</v>
      </c>
      <c r="CH38" s="50">
        <v>8110.5928400000003</v>
      </c>
      <c r="CI38" s="50">
        <v>64.892449999999997</v>
      </c>
      <c r="CJ38" s="50">
        <v>8314.7539900000011</v>
      </c>
      <c r="CK38" s="50">
        <v>197.08345</v>
      </c>
      <c r="CL38" s="50">
        <v>8946.7499200000002</v>
      </c>
      <c r="CM38" s="50">
        <v>248.95345</v>
      </c>
      <c r="CN38" s="50">
        <v>9588.2463800000005</v>
      </c>
      <c r="CO38" s="50">
        <v>253.06845000000001</v>
      </c>
      <c r="CP38" s="50">
        <v>9818.2550700000011</v>
      </c>
      <c r="CQ38" s="50">
        <v>253.74345000000002</v>
      </c>
      <c r="CR38" s="50">
        <v>11067.65732</v>
      </c>
      <c r="CS38" s="50">
        <v>257.34545000000003</v>
      </c>
      <c r="CT38" s="50">
        <v>1405.80971</v>
      </c>
      <c r="CU38" s="50">
        <v>0.72599999999999998</v>
      </c>
      <c r="CV38" s="50">
        <v>3328.7742200000002</v>
      </c>
      <c r="CW38" s="50">
        <v>4.9506399999999999</v>
      </c>
      <c r="CX38" s="50">
        <v>5766.2493199999999</v>
      </c>
      <c r="CY38" s="50">
        <v>11.041639999999999</v>
      </c>
      <c r="CZ38" s="50">
        <v>6362.69236</v>
      </c>
      <c r="DA38" s="50">
        <v>11.041639999999999</v>
      </c>
      <c r="DB38" s="50">
        <v>7283.4710500000001</v>
      </c>
      <c r="DC38" s="50">
        <v>15.641639999999999</v>
      </c>
      <c r="DD38" s="50">
        <v>7987.5979800000005</v>
      </c>
      <c r="DE38" s="50">
        <v>27.391839999999998</v>
      </c>
      <c r="DF38" s="50">
        <v>8462.3940399999992</v>
      </c>
      <c r="DG38" s="50">
        <v>134.26545999999999</v>
      </c>
      <c r="DH38" s="50">
        <v>8786.9756600000001</v>
      </c>
      <c r="DI38" s="50">
        <v>134.26545999999999</v>
      </c>
      <c r="DJ38" s="50">
        <v>9164.090189999999</v>
      </c>
      <c r="DK38" s="50">
        <v>428.68216999999999</v>
      </c>
      <c r="DL38" s="50">
        <v>9687.8159799999994</v>
      </c>
      <c r="DM38" s="50">
        <v>434.53451000000001</v>
      </c>
      <c r="DN38" s="50">
        <v>10022.09621</v>
      </c>
      <c r="DO38" s="50">
        <v>440.22179</v>
      </c>
      <c r="DP38" s="50">
        <v>11804.623299999999</v>
      </c>
      <c r="DQ38" s="51">
        <v>440.22179</v>
      </c>
      <c r="DR38" s="52">
        <v>1360.7004999999999</v>
      </c>
      <c r="DS38" s="53">
        <v>0</v>
      </c>
      <c r="DT38" s="54">
        <v>4558.86067</v>
      </c>
      <c r="DU38" s="51">
        <v>8.0991900000000001</v>
      </c>
      <c r="DV38" s="52">
        <v>5566.7606599999999</v>
      </c>
      <c r="DW38" s="53">
        <v>8.5911899999999992</v>
      </c>
      <c r="DX38" s="54">
        <v>6559.6406500000003</v>
      </c>
      <c r="DY38" s="51">
        <v>11.216189999999999</v>
      </c>
      <c r="DZ38" s="52">
        <v>7117.7697799999996</v>
      </c>
      <c r="EA38" s="53">
        <v>13.566190000000001</v>
      </c>
      <c r="EB38" s="54">
        <v>7991.5718999999999</v>
      </c>
      <c r="EC38" s="51">
        <v>13.566190000000001</v>
      </c>
      <c r="ED38" s="52">
        <v>8036.9143700000004</v>
      </c>
      <c r="EE38" s="53">
        <v>15.88123</v>
      </c>
      <c r="EF38" s="52">
        <v>9393.0528599999998</v>
      </c>
      <c r="EG38" s="53">
        <v>34.397190000000002</v>
      </c>
      <c r="EH38" s="54">
        <v>9852.7412700000004</v>
      </c>
      <c r="EI38" s="53">
        <v>34.397190000000002</v>
      </c>
      <c r="EJ38" s="54">
        <v>10621.05521</v>
      </c>
      <c r="EK38" s="53">
        <v>34.397190000000002</v>
      </c>
      <c r="EL38" s="52">
        <v>11256.05797</v>
      </c>
      <c r="EM38" s="55">
        <v>34.397190000000002</v>
      </c>
      <c r="EN38" s="52">
        <v>11768.643459999999</v>
      </c>
      <c r="EO38" s="55">
        <v>34.397190000000002</v>
      </c>
      <c r="EP38" s="52">
        <v>1840.6695300000001</v>
      </c>
      <c r="EQ38" s="55">
        <v>42.5</v>
      </c>
      <c r="ER38" s="52">
        <v>2931.6235099999999</v>
      </c>
      <c r="ES38" s="55">
        <v>73.016770000000008</v>
      </c>
      <c r="ET38" s="52">
        <v>4688.3805700000003</v>
      </c>
      <c r="EU38" s="55">
        <v>73.016769999999994</v>
      </c>
      <c r="EV38" s="52">
        <v>6201.04349</v>
      </c>
      <c r="EW38" s="55">
        <v>73.016769999999994</v>
      </c>
      <c r="EX38" s="52">
        <v>6668.6640900000002</v>
      </c>
      <c r="EY38" s="55">
        <v>73.016770000000008</v>
      </c>
      <c r="EZ38" s="52">
        <v>7968.2149200000003</v>
      </c>
      <c r="FA38" s="55">
        <v>73.016770000000008</v>
      </c>
      <c r="FB38" s="52">
        <v>8652.043380000001</v>
      </c>
      <c r="FC38" s="55">
        <v>73.866770000000002</v>
      </c>
      <c r="FD38" s="52">
        <v>9400.2445200000002</v>
      </c>
      <c r="FE38" s="55">
        <v>91.391970000000001</v>
      </c>
      <c r="FF38" s="52">
        <v>10054.294519999999</v>
      </c>
      <c r="FG38" s="55">
        <v>92.171970000000002</v>
      </c>
      <c r="FH38" s="52">
        <v>12349.71463</v>
      </c>
      <c r="FI38" s="55">
        <v>92.171970000000002</v>
      </c>
      <c r="FJ38" s="52">
        <v>13061.415059999999</v>
      </c>
      <c r="FK38" s="55">
        <v>95.646550000000005</v>
      </c>
      <c r="FL38" s="52">
        <v>13459.612359999999</v>
      </c>
      <c r="FM38" s="55">
        <v>124.61628</v>
      </c>
      <c r="FN38" s="52">
        <v>2358.0638100000001</v>
      </c>
      <c r="FO38" s="55">
        <v>0.75992000000000004</v>
      </c>
      <c r="FP38" s="52">
        <v>3480.5483599999998</v>
      </c>
      <c r="FQ38" s="55">
        <v>9.6589200000000002</v>
      </c>
      <c r="FR38" s="52">
        <v>5497.5686800000003</v>
      </c>
      <c r="FS38" s="55">
        <v>21.658919999999998</v>
      </c>
      <c r="FT38" s="52">
        <v>7170.1328700000004</v>
      </c>
      <c r="FU38" s="55">
        <v>21.658919999999998</v>
      </c>
      <c r="FV38" s="52">
        <v>7729.9684600000001</v>
      </c>
      <c r="FW38" s="55">
        <v>21.658919999999998</v>
      </c>
      <c r="FX38" s="52">
        <v>8099.1781700000001</v>
      </c>
      <c r="FY38" s="55">
        <v>50.513120000000001</v>
      </c>
      <c r="FZ38" s="52">
        <v>9752.9219799999992</v>
      </c>
      <c r="GA38" s="55">
        <v>52.288119999999999</v>
      </c>
      <c r="GB38" s="52">
        <v>10448.317580000001</v>
      </c>
      <c r="GC38" s="55">
        <v>56.247</v>
      </c>
      <c r="GD38" s="52">
        <v>11101.915360000001</v>
      </c>
      <c r="GE38" s="55">
        <v>59.247</v>
      </c>
      <c r="GF38" s="52">
        <v>11478.08114</v>
      </c>
      <c r="GG38" s="55">
        <v>63.41892</v>
      </c>
      <c r="GH38" s="52">
        <v>12067.800139999999</v>
      </c>
      <c r="GI38" s="55">
        <v>63.41892</v>
      </c>
      <c r="GJ38" s="52">
        <v>15065.375599999999</v>
      </c>
      <c r="GK38" s="55">
        <v>241.21642</v>
      </c>
      <c r="GL38" s="52">
        <v>894.97454000000005</v>
      </c>
      <c r="GM38" s="55">
        <v>1.669</v>
      </c>
      <c r="GN38" s="52">
        <v>1973.4400599999999</v>
      </c>
      <c r="GO38" s="55">
        <v>9.5879999999999992</v>
      </c>
      <c r="GP38" s="52">
        <v>3890.7216199999998</v>
      </c>
      <c r="GQ38" s="55">
        <v>15.118510000000001</v>
      </c>
      <c r="GR38" s="52">
        <v>5560.2063699999999</v>
      </c>
      <c r="GS38" s="55">
        <v>16.520510000000002</v>
      </c>
      <c r="GT38" s="52">
        <v>5952.4206999999997</v>
      </c>
      <c r="GU38" s="55">
        <v>20.67841</v>
      </c>
      <c r="GV38" s="52">
        <v>6662.4658300000001</v>
      </c>
      <c r="GW38" s="55">
        <v>23.578410000000002</v>
      </c>
      <c r="GX38" s="52">
        <v>8284.5278099999996</v>
      </c>
      <c r="GY38" s="55">
        <v>27.597809999999999</v>
      </c>
      <c r="GZ38" s="52">
        <v>8849.4793699999991</v>
      </c>
      <c r="HA38" s="55">
        <v>57.097810000000003</v>
      </c>
      <c r="HB38" s="52">
        <v>10005.753210000001</v>
      </c>
      <c r="HC38" s="55">
        <v>58.197809999999997</v>
      </c>
      <c r="HD38" s="52">
        <v>10299.79097</v>
      </c>
      <c r="HE38" s="55">
        <v>61.239310000000003</v>
      </c>
      <c r="HF38" s="52">
        <v>10911.22776</v>
      </c>
      <c r="HG38" s="55">
        <v>61.239310000000003</v>
      </c>
      <c r="HH38" s="52">
        <v>12271.58626</v>
      </c>
      <c r="HI38" s="55">
        <v>61.239310000000003</v>
      </c>
      <c r="HJ38" s="52">
        <v>1135.38112</v>
      </c>
      <c r="HK38" s="55">
        <v>10.407500000000001</v>
      </c>
      <c r="HL38" s="52">
        <v>2348.8217500000001</v>
      </c>
      <c r="HM38" s="55">
        <v>16.910499999999999</v>
      </c>
      <c r="HN38" s="52">
        <v>4687.8049300000002</v>
      </c>
      <c r="HO38" s="55">
        <v>16.910499999999999</v>
      </c>
      <c r="HP38" s="52">
        <v>7758.5051899999999</v>
      </c>
      <c r="HQ38" s="55">
        <v>16.910499999999999</v>
      </c>
      <c r="HR38" s="52">
        <v>7434.01836</v>
      </c>
      <c r="HS38" s="55">
        <v>17.312899999999999</v>
      </c>
      <c r="HT38" s="52">
        <v>9534.5400399999999</v>
      </c>
      <c r="HU38" s="55">
        <v>22.06296</v>
      </c>
      <c r="HV38" s="52">
        <v>11796.137189999999</v>
      </c>
      <c r="HW38" s="55">
        <v>27.737960000000001</v>
      </c>
      <c r="HX38" s="52">
        <v>13426.70356</v>
      </c>
      <c r="HY38" s="55">
        <v>73.257379999999998</v>
      </c>
      <c r="HZ38" s="52">
        <v>14452.93981</v>
      </c>
      <c r="IA38" s="55">
        <v>227.81738000000001</v>
      </c>
      <c r="IB38" s="16" t="s">
        <v>118</v>
      </c>
    </row>
    <row r="39" spans="1:239" s="9" customFormat="1" ht="22.5" customHeight="1" x14ac:dyDescent="0.4">
      <c r="A39" s="20" t="s">
        <v>76</v>
      </c>
      <c r="B39" s="50">
        <v>244.48473000000001</v>
      </c>
      <c r="C39" s="50">
        <v>8.91</v>
      </c>
      <c r="D39" s="50">
        <v>306.42328000000003</v>
      </c>
      <c r="E39" s="50">
        <v>8.9600000000000009</v>
      </c>
      <c r="F39" s="50">
        <v>350.89841999999999</v>
      </c>
      <c r="G39" s="50">
        <v>18.536000000000001</v>
      </c>
      <c r="H39" s="50">
        <v>390.64825999999999</v>
      </c>
      <c r="I39" s="50">
        <v>37.941859999999998</v>
      </c>
      <c r="J39" s="50">
        <v>460.02415999999999</v>
      </c>
      <c r="K39" s="50">
        <v>63.552599999999998</v>
      </c>
      <c r="L39" s="50">
        <v>655.45848000000001</v>
      </c>
      <c r="M39" s="50">
        <v>69.401600000000002</v>
      </c>
      <c r="N39" s="50">
        <v>719.53102999999999</v>
      </c>
      <c r="O39" s="50">
        <v>72.151600000000002</v>
      </c>
      <c r="P39" s="50">
        <v>746.58540000000005</v>
      </c>
      <c r="Q39" s="50">
        <v>77.262600000000006</v>
      </c>
      <c r="R39" s="50">
        <v>1070.68542</v>
      </c>
      <c r="S39" s="50">
        <v>89.872600000000006</v>
      </c>
      <c r="T39" s="50">
        <v>1132.2978700000001</v>
      </c>
      <c r="U39" s="50">
        <v>93.99560000000001</v>
      </c>
      <c r="V39" s="50">
        <v>1172.8676799999998</v>
      </c>
      <c r="W39" s="50">
        <v>95.49560000000001</v>
      </c>
      <c r="X39" s="50">
        <v>1211.1010399999998</v>
      </c>
      <c r="Y39" s="50">
        <v>101.07560000000001</v>
      </c>
      <c r="Z39" s="50">
        <v>240.50714000000002</v>
      </c>
      <c r="AA39" s="50">
        <v>7.9893999999999998</v>
      </c>
      <c r="AB39" s="50">
        <v>281.52797999999996</v>
      </c>
      <c r="AC39" s="50">
        <v>9.2046499999999991</v>
      </c>
      <c r="AD39" s="50">
        <v>314.39107000000001</v>
      </c>
      <c r="AE39" s="50">
        <v>17.211650000000002</v>
      </c>
      <c r="AF39" s="50">
        <v>398.26535999999999</v>
      </c>
      <c r="AG39" s="50">
        <v>23.191650000000003</v>
      </c>
      <c r="AH39" s="50">
        <v>430.06155000000001</v>
      </c>
      <c r="AI39" s="50">
        <v>27.126650000000001</v>
      </c>
      <c r="AJ39" s="50">
        <v>459.36839000000003</v>
      </c>
      <c r="AK39" s="50">
        <v>33.946109999999997</v>
      </c>
      <c r="AL39" s="50">
        <v>546.41543999999999</v>
      </c>
      <c r="AM39" s="50">
        <v>42.300110000000004</v>
      </c>
      <c r="AN39" s="50">
        <v>628.29406999999992</v>
      </c>
      <c r="AO39" s="50">
        <v>46.210709999999999</v>
      </c>
      <c r="AP39" s="50">
        <v>945.7629300000001</v>
      </c>
      <c r="AQ39" s="50">
        <v>49.199709999999996</v>
      </c>
      <c r="AR39" s="50">
        <v>1004.9374499999999</v>
      </c>
      <c r="AS39" s="50">
        <v>53.464709999999997</v>
      </c>
      <c r="AT39" s="50">
        <v>1122.8776799999998</v>
      </c>
      <c r="AU39" s="50">
        <v>55.544710000000002</v>
      </c>
      <c r="AV39" s="50">
        <v>1174.48047</v>
      </c>
      <c r="AW39" s="50">
        <v>61.464709999999997</v>
      </c>
      <c r="AX39" s="50">
        <v>63.682370000000006</v>
      </c>
      <c r="AY39" s="50">
        <v>4.9831099999999999</v>
      </c>
      <c r="AZ39" s="50">
        <v>95.247799999999998</v>
      </c>
      <c r="BA39" s="50">
        <v>12.506110000000001</v>
      </c>
      <c r="BB39" s="50">
        <v>111.72563000000001</v>
      </c>
      <c r="BC39" s="50">
        <v>15.54411</v>
      </c>
      <c r="BD39" s="50">
        <v>146.62634</v>
      </c>
      <c r="BE39" s="50">
        <v>21.82405</v>
      </c>
      <c r="BF39" s="50">
        <v>200.40845000000002</v>
      </c>
      <c r="BG39" s="50">
        <v>36.240790000000004</v>
      </c>
      <c r="BH39" s="50">
        <v>240.45873999999998</v>
      </c>
      <c r="BI39" s="50">
        <v>38.783850000000001</v>
      </c>
      <c r="BJ39" s="50">
        <v>260.86637000000002</v>
      </c>
      <c r="BK39" s="50">
        <v>49.600250000000003</v>
      </c>
      <c r="BL39" s="50">
        <v>323.32587999999998</v>
      </c>
      <c r="BM39" s="50">
        <v>53.458849999999998</v>
      </c>
      <c r="BN39" s="50">
        <v>630.91552000000001</v>
      </c>
      <c r="BO39" s="50">
        <v>54.368850000000002</v>
      </c>
      <c r="BP39" s="50">
        <v>692.75798999999995</v>
      </c>
      <c r="BQ39" s="50">
        <v>56.358849999999997</v>
      </c>
      <c r="BR39" s="50">
        <v>779.68892000000005</v>
      </c>
      <c r="BS39" s="50">
        <v>62.281849999999999</v>
      </c>
      <c r="BT39" s="50">
        <v>883.70371</v>
      </c>
      <c r="BU39" s="50">
        <v>66.311850000000007</v>
      </c>
      <c r="BV39" s="50">
        <v>144.20405</v>
      </c>
      <c r="BW39" s="50">
        <v>4.9285800000000002</v>
      </c>
      <c r="BX39" s="50">
        <v>183.69489999999999</v>
      </c>
      <c r="BY39" s="50">
        <v>4.9285800000000002</v>
      </c>
      <c r="BZ39" s="50">
        <v>203.12467999999998</v>
      </c>
      <c r="CA39" s="50">
        <v>4.9285800000000002</v>
      </c>
      <c r="CB39" s="50">
        <v>267.98591999999996</v>
      </c>
      <c r="CC39" s="50">
        <v>4.9285800000000002</v>
      </c>
      <c r="CD39" s="50">
        <v>353.37509999999997</v>
      </c>
      <c r="CE39" s="50">
        <v>4.9285800000000002</v>
      </c>
      <c r="CF39" s="50">
        <v>501.97515000000004</v>
      </c>
      <c r="CG39" s="50">
        <v>8.3545800000000003</v>
      </c>
      <c r="CH39" s="50">
        <v>670.17585999999994</v>
      </c>
      <c r="CI39" s="50">
        <v>13.05758</v>
      </c>
      <c r="CJ39" s="50">
        <v>851.13204000000007</v>
      </c>
      <c r="CK39" s="50">
        <v>10.75258</v>
      </c>
      <c r="CL39" s="50">
        <v>1283.7636599999998</v>
      </c>
      <c r="CM39" s="50">
        <v>12.97758</v>
      </c>
      <c r="CN39" s="50">
        <v>1411.3874799999999</v>
      </c>
      <c r="CO39" s="50">
        <v>29.05658</v>
      </c>
      <c r="CP39" s="50">
        <v>1547.7460000000001</v>
      </c>
      <c r="CQ39" s="50">
        <v>40.022580000000005</v>
      </c>
      <c r="CR39" s="50">
        <v>1726.9485400000001</v>
      </c>
      <c r="CS39" s="50">
        <v>55.891580000000005</v>
      </c>
      <c r="CT39" s="50">
        <v>176.73203000000001</v>
      </c>
      <c r="CU39" s="50">
        <v>23.925000000000001</v>
      </c>
      <c r="CV39" s="50">
        <v>326.45787000000001</v>
      </c>
      <c r="CW39" s="50">
        <v>31.356000000000002</v>
      </c>
      <c r="CX39" s="50">
        <v>441.76840999999996</v>
      </c>
      <c r="CY39" s="50">
        <v>60.662970000000001</v>
      </c>
      <c r="CZ39" s="50">
        <v>529.75155000000007</v>
      </c>
      <c r="DA39" s="50">
        <v>93.470669999999998</v>
      </c>
      <c r="DB39" s="50">
        <v>574.75949000000003</v>
      </c>
      <c r="DC39" s="50">
        <v>107.46877000000001</v>
      </c>
      <c r="DD39" s="50">
        <v>683.71992</v>
      </c>
      <c r="DE39" s="50">
        <v>135.35003</v>
      </c>
      <c r="DF39" s="50">
        <v>832.83666000000005</v>
      </c>
      <c r="DG39" s="50">
        <v>165.76935999999998</v>
      </c>
      <c r="DH39" s="50">
        <v>905.33917000000008</v>
      </c>
      <c r="DI39" s="50">
        <v>199.86935999999997</v>
      </c>
      <c r="DJ39" s="50">
        <v>1152.1185</v>
      </c>
      <c r="DK39" s="50">
        <v>237.06676999999999</v>
      </c>
      <c r="DL39" s="50">
        <v>1234.22775</v>
      </c>
      <c r="DM39" s="50">
        <v>251.85977</v>
      </c>
      <c r="DN39" s="50">
        <v>1304.5846799999999</v>
      </c>
      <c r="DO39" s="50">
        <v>268.09476999999998</v>
      </c>
      <c r="DP39" s="50">
        <v>1420.3167900000001</v>
      </c>
      <c r="DQ39" s="51">
        <v>290.86176999999998</v>
      </c>
      <c r="DR39" s="59">
        <v>96.23057</v>
      </c>
      <c r="DS39" s="53">
        <v>13.16451</v>
      </c>
      <c r="DT39" s="54">
        <v>197.90772000000001</v>
      </c>
      <c r="DU39" s="51">
        <v>19.188510000000001</v>
      </c>
      <c r="DV39" s="52">
        <v>274.85660999999999</v>
      </c>
      <c r="DW39" s="53">
        <v>33.129710000000003</v>
      </c>
      <c r="DX39" s="54">
        <v>361.92437999999999</v>
      </c>
      <c r="DY39" s="51">
        <v>36.453499999999998</v>
      </c>
      <c r="DZ39" s="52">
        <v>464.16658000000001</v>
      </c>
      <c r="EA39" s="53">
        <v>37.102060000000002</v>
      </c>
      <c r="EB39" s="54">
        <v>603.12102000000004</v>
      </c>
      <c r="EC39" s="51">
        <v>43.655230000000003</v>
      </c>
      <c r="ED39" s="52">
        <v>746.88792999999998</v>
      </c>
      <c r="EE39" s="53">
        <v>45.483620000000002</v>
      </c>
      <c r="EF39" s="52">
        <v>912.33592999999996</v>
      </c>
      <c r="EG39" s="53">
        <v>45.483620000000002</v>
      </c>
      <c r="EH39" s="54">
        <v>1223.9725100000001</v>
      </c>
      <c r="EI39" s="53">
        <v>82.519400000000005</v>
      </c>
      <c r="EJ39" s="54">
        <v>1410.9414899999999</v>
      </c>
      <c r="EK39" s="53">
        <v>54.054900000000004</v>
      </c>
      <c r="EL39" s="52">
        <v>1588.3773000000001</v>
      </c>
      <c r="EM39" s="55">
        <v>54.054900000000004</v>
      </c>
      <c r="EN39" s="52">
        <v>1817.2421899999999</v>
      </c>
      <c r="EO39" s="55">
        <v>54.632910000000003</v>
      </c>
      <c r="EP39" s="52">
        <v>212.15271999999999</v>
      </c>
      <c r="EQ39" s="55">
        <v>0.22549</v>
      </c>
      <c r="ER39" s="52">
        <v>418.72879</v>
      </c>
      <c r="ES39" s="55">
        <v>0.22549</v>
      </c>
      <c r="ET39" s="52">
        <v>652.82392000000004</v>
      </c>
      <c r="EU39" s="55">
        <v>1.1596500000000001</v>
      </c>
      <c r="EV39" s="52">
        <v>848.06191999999999</v>
      </c>
      <c r="EW39" s="55">
        <v>5.4837400000000001</v>
      </c>
      <c r="EX39" s="52">
        <v>1079.28549</v>
      </c>
      <c r="EY39" s="55">
        <v>9.6817399999999996</v>
      </c>
      <c r="EZ39" s="52">
        <v>1285.0984599999999</v>
      </c>
      <c r="FA39" s="55">
        <v>11.70074</v>
      </c>
      <c r="FB39" s="52">
        <v>1470.1536899999999</v>
      </c>
      <c r="FC39" s="55">
        <v>17.75478</v>
      </c>
      <c r="FD39" s="52">
        <v>1673.56882</v>
      </c>
      <c r="FE39" s="55">
        <v>22.560479999999998</v>
      </c>
      <c r="FF39" s="52">
        <v>2008.91327</v>
      </c>
      <c r="FG39" s="55">
        <v>29.925810000000002</v>
      </c>
      <c r="FH39" s="52">
        <v>2285.1315399999999</v>
      </c>
      <c r="FI39" s="55">
        <v>29.925809999999998</v>
      </c>
      <c r="FJ39" s="52">
        <v>2548.7869500000002</v>
      </c>
      <c r="FK39" s="55">
        <v>29.925809999999998</v>
      </c>
      <c r="FL39" s="52">
        <v>2930.0962200000004</v>
      </c>
      <c r="FM39" s="55">
        <v>37.20581</v>
      </c>
      <c r="FN39" s="52">
        <v>297.99891000000002</v>
      </c>
      <c r="FO39" s="55">
        <v>0</v>
      </c>
      <c r="FP39" s="52">
        <v>595.89308999999992</v>
      </c>
      <c r="FQ39" s="55">
        <v>1.357</v>
      </c>
      <c r="FR39" s="52">
        <v>882.81853000000001</v>
      </c>
      <c r="FS39" s="55">
        <v>4.1237599999999999</v>
      </c>
      <c r="FT39" s="52">
        <v>1158.4840200000001</v>
      </c>
      <c r="FU39" s="55">
        <v>19.008759999999999</v>
      </c>
      <c r="FV39" s="52">
        <v>1472.8976</v>
      </c>
      <c r="FW39" s="55">
        <v>19.008759999999999</v>
      </c>
      <c r="FX39" s="52">
        <v>1714.44461</v>
      </c>
      <c r="FY39" s="55">
        <v>23.563759999999998</v>
      </c>
      <c r="FZ39" s="52">
        <v>1990.6690000000001</v>
      </c>
      <c r="GA39" s="55">
        <v>23.563759999999998</v>
      </c>
      <c r="GB39" s="52">
        <v>2267.1797999999999</v>
      </c>
      <c r="GC39" s="55">
        <v>28.563759999999998</v>
      </c>
      <c r="GD39" s="52">
        <v>2550.9033599999998</v>
      </c>
      <c r="GE39" s="55">
        <v>48.482860000000002</v>
      </c>
      <c r="GF39" s="52">
        <v>2897.4834500000002</v>
      </c>
      <c r="GG39" s="55">
        <v>48.482860000000002</v>
      </c>
      <c r="GH39" s="52">
        <v>3214.6489700000002</v>
      </c>
      <c r="GI39" s="55">
        <v>52.707769999999996</v>
      </c>
      <c r="GJ39" s="52">
        <v>3633.0917199999999</v>
      </c>
      <c r="GK39" s="55">
        <v>52.707769999999996</v>
      </c>
      <c r="GL39" s="52">
        <v>302.95425999999998</v>
      </c>
      <c r="GM39" s="55">
        <v>0</v>
      </c>
      <c r="GN39" s="52">
        <v>636.47560999999996</v>
      </c>
      <c r="GO39" s="55">
        <v>6.3754</v>
      </c>
      <c r="GP39" s="52">
        <v>956.55633999999998</v>
      </c>
      <c r="GQ39" s="55">
        <v>8.02</v>
      </c>
      <c r="GR39" s="52">
        <v>1316.4946399999999</v>
      </c>
      <c r="GS39" s="55">
        <v>11.025</v>
      </c>
      <c r="GT39" s="52">
        <v>1659.25046</v>
      </c>
      <c r="GU39" s="55">
        <v>11.025</v>
      </c>
      <c r="GV39" s="52">
        <v>1959.01809</v>
      </c>
      <c r="GW39" s="55">
        <v>11.025</v>
      </c>
      <c r="GX39" s="52">
        <v>2443.8125199999999</v>
      </c>
      <c r="GY39" s="55">
        <v>15.679399999999999</v>
      </c>
      <c r="GZ39" s="52">
        <v>2858.7388700000001</v>
      </c>
      <c r="HA39" s="55">
        <v>15.679399999999999</v>
      </c>
      <c r="HB39" s="52">
        <v>3573.7203399999999</v>
      </c>
      <c r="HC39" s="55">
        <v>31.63869</v>
      </c>
      <c r="HD39" s="52">
        <v>4335.34771</v>
      </c>
      <c r="HE39" s="55">
        <v>36.448689999999999</v>
      </c>
      <c r="HF39" s="52">
        <v>4969.29385</v>
      </c>
      <c r="HG39" s="55">
        <v>36.448689999999999</v>
      </c>
      <c r="HH39" s="52">
        <v>5642.0263199999999</v>
      </c>
      <c r="HI39" s="55">
        <v>36.448689999999999</v>
      </c>
      <c r="HJ39" s="52">
        <v>554.84016999999994</v>
      </c>
      <c r="HK39" s="55">
        <v>1</v>
      </c>
      <c r="HL39" s="52">
        <v>1092.5073299999999</v>
      </c>
      <c r="HM39" s="55">
        <v>1</v>
      </c>
      <c r="HN39" s="52">
        <v>1689.6183000000001</v>
      </c>
      <c r="HO39" s="55">
        <v>1</v>
      </c>
      <c r="HP39" s="52">
        <v>2339.8140400000002</v>
      </c>
      <c r="HQ39" s="55">
        <v>1</v>
      </c>
      <c r="HR39" s="52">
        <v>3055.73882</v>
      </c>
      <c r="HS39" s="55">
        <v>1.4012</v>
      </c>
      <c r="HT39" s="52">
        <v>3694.65733</v>
      </c>
      <c r="HU39" s="55">
        <v>18.369309999999999</v>
      </c>
      <c r="HV39" s="52">
        <v>4306.4546300000002</v>
      </c>
      <c r="HW39" s="55">
        <v>41.169339999999998</v>
      </c>
      <c r="HX39" s="52">
        <v>4962.2821299999996</v>
      </c>
      <c r="HY39" s="55">
        <v>45.488340000000001</v>
      </c>
      <c r="HZ39" s="52">
        <v>5688.2519400000001</v>
      </c>
      <c r="IA39" s="55">
        <v>51.418939999999999</v>
      </c>
      <c r="IB39" s="21" t="s">
        <v>119</v>
      </c>
    </row>
    <row r="40" spans="1:239" s="9" customFormat="1" ht="22.5" customHeight="1" x14ac:dyDescent="0.4">
      <c r="A40" s="15" t="s">
        <v>77</v>
      </c>
      <c r="B40" s="50">
        <v>51.055680000000002</v>
      </c>
      <c r="C40" s="50">
        <v>0</v>
      </c>
      <c r="D40" s="50">
        <v>91.013509999999997</v>
      </c>
      <c r="E40" s="50">
        <v>0</v>
      </c>
      <c r="F40" s="50">
        <v>100.65797000000001</v>
      </c>
      <c r="G40" s="50">
        <v>0</v>
      </c>
      <c r="H40" s="50">
        <v>604.91018999999994</v>
      </c>
      <c r="I40" s="50">
        <v>0</v>
      </c>
      <c r="J40" s="50">
        <v>1475.1877899999999</v>
      </c>
      <c r="K40" s="50">
        <v>0.5</v>
      </c>
      <c r="L40" s="50">
        <v>1608.9224199999999</v>
      </c>
      <c r="M40" s="50">
        <v>0</v>
      </c>
      <c r="N40" s="50">
        <v>1699.7741000000001</v>
      </c>
      <c r="O40" s="50">
        <v>0</v>
      </c>
      <c r="P40" s="50">
        <v>1745.1833000000001</v>
      </c>
      <c r="Q40" s="50">
        <v>0.5</v>
      </c>
      <c r="R40" s="50">
        <v>1749.3558</v>
      </c>
      <c r="S40" s="50">
        <v>0.5</v>
      </c>
      <c r="T40" s="50">
        <v>1975.53412</v>
      </c>
      <c r="U40" s="50">
        <v>0.5</v>
      </c>
      <c r="V40" s="50">
        <v>2010.81655</v>
      </c>
      <c r="W40" s="50">
        <v>0.5</v>
      </c>
      <c r="X40" s="50">
        <v>1949.42254</v>
      </c>
      <c r="Y40" s="50">
        <v>0.5</v>
      </c>
      <c r="Z40" s="50">
        <v>121.72788</v>
      </c>
      <c r="AA40" s="50">
        <v>0</v>
      </c>
      <c r="AB40" s="50">
        <v>722.29317000000003</v>
      </c>
      <c r="AC40" s="50">
        <v>0</v>
      </c>
      <c r="AD40" s="50">
        <v>847.6023100000001</v>
      </c>
      <c r="AE40" s="50">
        <v>0</v>
      </c>
      <c r="AF40" s="50">
        <v>907.3378100000001</v>
      </c>
      <c r="AG40" s="50">
        <v>0</v>
      </c>
      <c r="AH40" s="50">
        <v>1875.52457</v>
      </c>
      <c r="AI40" s="50">
        <v>1.6981900000000001</v>
      </c>
      <c r="AJ40" s="50">
        <v>1861.7083500000001</v>
      </c>
      <c r="AK40" s="50">
        <v>1.6981900000000001</v>
      </c>
      <c r="AL40" s="50">
        <v>1937.88321</v>
      </c>
      <c r="AM40" s="50">
        <v>1.6981900000000001</v>
      </c>
      <c r="AN40" s="50">
        <v>1947.7882099999999</v>
      </c>
      <c r="AO40" s="50">
        <v>1.6981900000000001</v>
      </c>
      <c r="AP40" s="50">
        <v>1951.86986</v>
      </c>
      <c r="AQ40" s="50">
        <v>1.6981900000000001</v>
      </c>
      <c r="AR40" s="50">
        <v>1982.5398600000001</v>
      </c>
      <c r="AS40" s="50">
        <v>1.6981900000000001</v>
      </c>
      <c r="AT40" s="50">
        <v>2031.4952499999999</v>
      </c>
      <c r="AU40" s="50">
        <v>1.6981900000000001</v>
      </c>
      <c r="AV40" s="50">
        <v>2036.5952500000001</v>
      </c>
      <c r="AW40" s="50">
        <v>1.6981900000000001</v>
      </c>
      <c r="AX40" s="50">
        <v>659.83371</v>
      </c>
      <c r="AY40" s="50">
        <v>0</v>
      </c>
      <c r="AZ40" s="50">
        <v>659.43995999999993</v>
      </c>
      <c r="BA40" s="50">
        <v>0</v>
      </c>
      <c r="BB40" s="50">
        <v>662.43995999999993</v>
      </c>
      <c r="BC40" s="50">
        <v>14.5</v>
      </c>
      <c r="BD40" s="50">
        <v>787.25101000000006</v>
      </c>
      <c r="BE40" s="50">
        <v>14.5</v>
      </c>
      <c r="BF40" s="50">
        <v>1767.8441399999999</v>
      </c>
      <c r="BG40" s="50">
        <v>14.5</v>
      </c>
      <c r="BH40" s="50">
        <v>1860.6275900000001</v>
      </c>
      <c r="BI40" s="50">
        <v>14.5</v>
      </c>
      <c r="BJ40" s="50">
        <v>1880.2025900000001</v>
      </c>
      <c r="BK40" s="50">
        <v>14.5</v>
      </c>
      <c r="BL40" s="50">
        <v>1908.1925900000001</v>
      </c>
      <c r="BM40" s="50">
        <v>14.5</v>
      </c>
      <c r="BN40" s="50">
        <v>1945.2010400000001</v>
      </c>
      <c r="BO40" s="50">
        <v>14.5</v>
      </c>
      <c r="BP40" s="50">
        <v>2065.5482099999999</v>
      </c>
      <c r="BQ40" s="50">
        <v>14.5</v>
      </c>
      <c r="BR40" s="50">
        <v>2080.6442099999999</v>
      </c>
      <c r="BS40" s="50">
        <v>14.5</v>
      </c>
      <c r="BT40" s="50">
        <v>2095.5637700000002</v>
      </c>
      <c r="BU40" s="50">
        <v>14.5</v>
      </c>
      <c r="BV40" s="50">
        <v>456.15090000000004</v>
      </c>
      <c r="BW40" s="50">
        <v>0</v>
      </c>
      <c r="BX40" s="50">
        <v>474.15010999999998</v>
      </c>
      <c r="BY40" s="50">
        <v>0</v>
      </c>
      <c r="BZ40" s="50">
        <v>488.95011</v>
      </c>
      <c r="CA40" s="50">
        <v>0</v>
      </c>
      <c r="CB40" s="50">
        <v>551.42405000000008</v>
      </c>
      <c r="CC40" s="50">
        <v>0</v>
      </c>
      <c r="CD40" s="50">
        <v>1738.12599</v>
      </c>
      <c r="CE40" s="50">
        <v>0</v>
      </c>
      <c r="CF40" s="50">
        <v>1806.7803100000001</v>
      </c>
      <c r="CG40" s="50">
        <v>0</v>
      </c>
      <c r="CH40" s="50">
        <v>2092.9262899999999</v>
      </c>
      <c r="CI40" s="50">
        <v>0</v>
      </c>
      <c r="CJ40" s="50">
        <v>2106.2642900000001</v>
      </c>
      <c r="CK40" s="50">
        <v>0</v>
      </c>
      <c r="CL40" s="50">
        <v>2125.7024200000001</v>
      </c>
      <c r="CM40" s="50">
        <v>0</v>
      </c>
      <c r="CN40" s="50">
        <v>2154.66516</v>
      </c>
      <c r="CO40" s="50">
        <v>0</v>
      </c>
      <c r="CP40" s="50">
        <v>2178.76116</v>
      </c>
      <c r="CQ40" s="50">
        <v>0</v>
      </c>
      <c r="CR40" s="50">
        <v>2196.5888100000002</v>
      </c>
      <c r="CS40" s="50">
        <v>0</v>
      </c>
      <c r="CT40" s="50">
        <v>477.16990000000004</v>
      </c>
      <c r="CU40" s="50">
        <v>0</v>
      </c>
      <c r="CV40" s="50">
        <v>501.52190000000002</v>
      </c>
      <c r="CW40" s="50">
        <v>0</v>
      </c>
      <c r="CX40" s="50">
        <v>516.32349999999997</v>
      </c>
      <c r="CY40" s="50">
        <v>0</v>
      </c>
      <c r="CZ40" s="50">
        <v>590.63751999999999</v>
      </c>
      <c r="DA40" s="50">
        <v>0</v>
      </c>
      <c r="DB40" s="50">
        <v>790.86817000000008</v>
      </c>
      <c r="DC40" s="50">
        <v>0</v>
      </c>
      <c r="DD40" s="50">
        <v>848.33146999999997</v>
      </c>
      <c r="DE40" s="50">
        <v>0</v>
      </c>
      <c r="DF40" s="50">
        <v>848.05002999999999</v>
      </c>
      <c r="DG40" s="50">
        <v>0</v>
      </c>
      <c r="DH40" s="50">
        <v>875.92003</v>
      </c>
      <c r="DI40" s="50">
        <v>0</v>
      </c>
      <c r="DJ40" s="50">
        <v>895.72003000000007</v>
      </c>
      <c r="DK40" s="50">
        <v>0</v>
      </c>
      <c r="DL40" s="50">
        <v>949.3143</v>
      </c>
      <c r="DM40" s="50">
        <v>0</v>
      </c>
      <c r="DN40" s="50">
        <v>963.35743000000002</v>
      </c>
      <c r="DO40" s="50">
        <v>0</v>
      </c>
      <c r="DP40" s="50">
        <v>968.94142999999997</v>
      </c>
      <c r="DQ40" s="51">
        <v>0</v>
      </c>
      <c r="DR40" s="52">
        <v>431.1268</v>
      </c>
      <c r="DS40" s="53">
        <v>0</v>
      </c>
      <c r="DT40" s="54">
        <v>431.1268</v>
      </c>
      <c r="DU40" s="51">
        <v>0</v>
      </c>
      <c r="DV40" s="52">
        <v>442.01679999999999</v>
      </c>
      <c r="DW40" s="53">
        <v>0</v>
      </c>
      <c r="DX40" s="54">
        <v>497.82985000000002</v>
      </c>
      <c r="DY40" s="51">
        <v>0</v>
      </c>
      <c r="DZ40" s="52">
        <v>561.50392999999997</v>
      </c>
      <c r="EA40" s="53">
        <v>0</v>
      </c>
      <c r="EB40" s="54">
        <v>603.90137000000004</v>
      </c>
      <c r="EC40" s="51">
        <v>0</v>
      </c>
      <c r="ED40" s="52">
        <v>658.12136999999996</v>
      </c>
      <c r="EE40" s="53">
        <v>0</v>
      </c>
      <c r="EF40" s="52">
        <v>678.12136999999996</v>
      </c>
      <c r="EG40" s="53">
        <v>0</v>
      </c>
      <c r="EH40" s="54">
        <v>800.11095999999998</v>
      </c>
      <c r="EI40" s="53">
        <v>0</v>
      </c>
      <c r="EJ40" s="54">
        <v>822.93856000000005</v>
      </c>
      <c r="EK40" s="53">
        <v>0</v>
      </c>
      <c r="EL40" s="52">
        <v>832.58856000000003</v>
      </c>
      <c r="EM40" s="55">
        <v>0</v>
      </c>
      <c r="EN40" s="52">
        <v>922.37945999999999</v>
      </c>
      <c r="EO40" s="55">
        <v>0</v>
      </c>
      <c r="EP40" s="52">
        <v>603.07500000000005</v>
      </c>
      <c r="EQ40" s="55">
        <v>0</v>
      </c>
      <c r="ER40" s="52">
        <v>648.94133999999997</v>
      </c>
      <c r="ES40" s="55">
        <v>0</v>
      </c>
      <c r="ET40" s="52">
        <v>671.89203999999995</v>
      </c>
      <c r="EU40" s="55">
        <v>0</v>
      </c>
      <c r="EV40" s="52">
        <v>732.51094999999998</v>
      </c>
      <c r="EW40" s="55">
        <v>0</v>
      </c>
      <c r="EX40" s="52">
        <v>817.03789000000006</v>
      </c>
      <c r="EY40" s="55">
        <v>0</v>
      </c>
      <c r="EZ40" s="52">
        <v>995.87396000000001</v>
      </c>
      <c r="FA40" s="55">
        <v>0</v>
      </c>
      <c r="FB40" s="52">
        <v>1040.8739599999999</v>
      </c>
      <c r="FC40" s="55">
        <v>0</v>
      </c>
      <c r="FD40" s="52">
        <v>1113.9294400000001</v>
      </c>
      <c r="FE40" s="55">
        <v>0</v>
      </c>
      <c r="FF40" s="52">
        <v>1164.25224</v>
      </c>
      <c r="FG40" s="55">
        <v>0</v>
      </c>
      <c r="FH40" s="52">
        <v>1167.9682399999999</v>
      </c>
      <c r="FI40" s="55">
        <v>0</v>
      </c>
      <c r="FJ40" s="52">
        <v>1196.6032399999999</v>
      </c>
      <c r="FK40" s="55">
        <v>0</v>
      </c>
      <c r="FL40" s="52">
        <v>1300.59329</v>
      </c>
      <c r="FM40" s="55">
        <v>0</v>
      </c>
      <c r="FN40" s="52">
        <v>1044.1762000000001</v>
      </c>
      <c r="FO40" s="55">
        <v>0</v>
      </c>
      <c r="FP40" s="52">
        <v>1060.3113000000001</v>
      </c>
      <c r="FQ40" s="55">
        <v>0</v>
      </c>
      <c r="FR40" s="52">
        <v>1149.2592999999999</v>
      </c>
      <c r="FS40" s="55">
        <v>0</v>
      </c>
      <c r="FT40" s="52">
        <v>1181.8378</v>
      </c>
      <c r="FU40" s="55">
        <v>0</v>
      </c>
      <c r="FV40" s="52">
        <v>1323.12375</v>
      </c>
      <c r="FW40" s="55">
        <v>0</v>
      </c>
      <c r="FX40" s="52">
        <v>1476.4908</v>
      </c>
      <c r="FY40" s="55">
        <v>0</v>
      </c>
      <c r="FZ40" s="52">
        <v>1552.1313</v>
      </c>
      <c r="GA40" s="55">
        <v>0</v>
      </c>
      <c r="GB40" s="52">
        <v>1621.3470500000001</v>
      </c>
      <c r="GC40" s="55">
        <v>1.75</v>
      </c>
      <c r="GD40" s="52">
        <v>1707.1968999999999</v>
      </c>
      <c r="GE40" s="55">
        <v>1.75</v>
      </c>
      <c r="GF40" s="52">
        <v>1826.5563999999999</v>
      </c>
      <c r="GG40" s="55">
        <v>1.75</v>
      </c>
      <c r="GH40" s="52">
        <v>1967.6164799999999</v>
      </c>
      <c r="GI40" s="55">
        <v>1.75</v>
      </c>
      <c r="GJ40" s="52">
        <v>2041.11338</v>
      </c>
      <c r="GK40" s="55">
        <v>2.41</v>
      </c>
      <c r="GL40" s="52">
        <v>1117.7719</v>
      </c>
      <c r="GM40" s="55">
        <v>0</v>
      </c>
      <c r="GN40" s="52">
        <v>1167.3020100000001</v>
      </c>
      <c r="GO40" s="55">
        <v>2.4700000000000002</v>
      </c>
      <c r="GP40" s="52">
        <v>1254.6091999999999</v>
      </c>
      <c r="GQ40" s="55">
        <v>2.4700000000000002</v>
      </c>
      <c r="GR40" s="52">
        <v>1296.9286999999999</v>
      </c>
      <c r="GS40" s="55">
        <v>2.4700000000000002</v>
      </c>
      <c r="GT40" s="52">
        <v>1367.1361300000001</v>
      </c>
      <c r="GU40" s="55">
        <v>3.42</v>
      </c>
      <c r="GV40" s="52">
        <v>1500.1579200000001</v>
      </c>
      <c r="GW40" s="55">
        <v>3.42</v>
      </c>
      <c r="GX40" s="52">
        <v>1555.60177</v>
      </c>
      <c r="GY40" s="55">
        <v>3.42</v>
      </c>
      <c r="GZ40" s="52">
        <v>1675.07349</v>
      </c>
      <c r="HA40" s="55">
        <v>3.42</v>
      </c>
      <c r="HB40" s="52">
        <v>1747.95769</v>
      </c>
      <c r="HC40" s="55">
        <v>11.269</v>
      </c>
      <c r="HD40" s="52">
        <v>1916.13411</v>
      </c>
      <c r="HE40" s="55">
        <v>12.638999999999999</v>
      </c>
      <c r="HF40" s="52">
        <v>1962.36571</v>
      </c>
      <c r="HG40" s="55">
        <v>12.638999999999999</v>
      </c>
      <c r="HH40" s="52">
        <v>2093.9074599999999</v>
      </c>
      <c r="HI40" s="55">
        <v>12.638999999999999</v>
      </c>
      <c r="HJ40" s="52">
        <v>1136.3901800000001</v>
      </c>
      <c r="HK40" s="55">
        <v>0.4</v>
      </c>
      <c r="HL40" s="52">
        <v>1183.7802799999999</v>
      </c>
      <c r="HM40" s="55">
        <v>3.2879999999999998</v>
      </c>
      <c r="HN40" s="52">
        <v>1210.57141</v>
      </c>
      <c r="HO40" s="55">
        <v>8.0730000000000004</v>
      </c>
      <c r="HP40" s="52">
        <v>1236.2994100000001</v>
      </c>
      <c r="HQ40" s="55">
        <v>12.538</v>
      </c>
      <c r="HR40" s="52">
        <v>1466.74344</v>
      </c>
      <c r="HS40" s="55">
        <v>12.538</v>
      </c>
      <c r="HT40" s="52">
        <v>1776.29955</v>
      </c>
      <c r="HU40" s="55">
        <v>13.14</v>
      </c>
      <c r="HV40" s="52">
        <v>1895.5238300000001</v>
      </c>
      <c r="HW40" s="55">
        <v>13.14</v>
      </c>
      <c r="HX40" s="52">
        <v>1942.9478300000001</v>
      </c>
      <c r="HY40" s="55">
        <v>13.14</v>
      </c>
      <c r="HZ40" s="52">
        <v>1991.2393300000001</v>
      </c>
      <c r="IA40" s="55">
        <v>13.14</v>
      </c>
      <c r="IB40" s="16" t="s">
        <v>120</v>
      </c>
    </row>
    <row r="41" spans="1:239" s="9" customFormat="1" ht="22.5" customHeight="1" x14ac:dyDescent="0.4">
      <c r="A41" s="15" t="s">
        <v>78</v>
      </c>
      <c r="B41" s="50">
        <v>26.13138</v>
      </c>
      <c r="C41" s="50">
        <v>0.63214999999999999</v>
      </c>
      <c r="D41" s="50">
        <v>128.84253000000001</v>
      </c>
      <c r="E41" s="50">
        <v>1.26431</v>
      </c>
      <c r="F41" s="50">
        <v>521.34888000000001</v>
      </c>
      <c r="G41" s="50">
        <v>1.8964799999999999</v>
      </c>
      <c r="H41" s="50">
        <v>524.43885</v>
      </c>
      <c r="I41" s="50">
        <v>2.5286500000000003</v>
      </c>
      <c r="J41" s="50">
        <v>564.05007000000001</v>
      </c>
      <c r="K41" s="50">
        <v>14.945549999999999</v>
      </c>
      <c r="L41" s="50">
        <v>590.16</v>
      </c>
      <c r="M41" s="50">
        <v>5.6303199999999993</v>
      </c>
      <c r="N41" s="50">
        <v>740.40816000000007</v>
      </c>
      <c r="O41" s="50">
        <v>6.2624899999999997</v>
      </c>
      <c r="P41" s="50">
        <v>928.63535000000002</v>
      </c>
      <c r="Q41" s="50">
        <v>6.89466</v>
      </c>
      <c r="R41" s="50">
        <v>1012.83852</v>
      </c>
      <c r="S41" s="50">
        <v>7.5268100000000002</v>
      </c>
      <c r="T41" s="50">
        <v>1038.2603100000001</v>
      </c>
      <c r="U41" s="50">
        <v>8.1589700000000001</v>
      </c>
      <c r="V41" s="50">
        <v>1133.8602100000001</v>
      </c>
      <c r="W41" s="50">
        <v>8.7911200000000012</v>
      </c>
      <c r="X41" s="50">
        <v>1183.546</v>
      </c>
      <c r="Y41" s="50">
        <v>9.4232900000000015</v>
      </c>
      <c r="Z41" s="50">
        <v>67.608100000000007</v>
      </c>
      <c r="AA41" s="50">
        <v>15.565430000000001</v>
      </c>
      <c r="AB41" s="50">
        <v>89.040009999999995</v>
      </c>
      <c r="AC41" s="50">
        <v>16.197600000000001</v>
      </c>
      <c r="AD41" s="50">
        <v>242.09776000000002</v>
      </c>
      <c r="AE41" s="50">
        <v>16.829759999999997</v>
      </c>
      <c r="AF41" s="50">
        <v>532.84492</v>
      </c>
      <c r="AG41" s="50">
        <v>17.461919999999999</v>
      </c>
      <c r="AH41" s="50">
        <v>599.43362000000002</v>
      </c>
      <c r="AI41" s="50">
        <v>18.094080000000002</v>
      </c>
      <c r="AJ41" s="50">
        <v>673.74757999999997</v>
      </c>
      <c r="AK41" s="50">
        <v>18.726220000000001</v>
      </c>
      <c r="AL41" s="50">
        <v>774.74785999999995</v>
      </c>
      <c r="AM41" s="50">
        <v>19.34836</v>
      </c>
      <c r="AN41" s="50">
        <v>828.51605000000006</v>
      </c>
      <c r="AO41" s="50">
        <v>19.990490000000001</v>
      </c>
      <c r="AP41" s="50">
        <v>943.28592000000003</v>
      </c>
      <c r="AQ41" s="50">
        <v>20.622619999999998</v>
      </c>
      <c r="AR41" s="50">
        <v>1037.94271</v>
      </c>
      <c r="AS41" s="50">
        <v>21.254750000000001</v>
      </c>
      <c r="AT41" s="50">
        <v>1090.4873700000001</v>
      </c>
      <c r="AU41" s="50">
        <v>21.886880000000001</v>
      </c>
      <c r="AV41" s="50">
        <v>1125.8515199999999</v>
      </c>
      <c r="AW41" s="50">
        <v>22.519009999999998</v>
      </c>
      <c r="AX41" s="50">
        <v>61.998949999999994</v>
      </c>
      <c r="AY41" s="50">
        <v>0.63212999999999997</v>
      </c>
      <c r="AZ41" s="50">
        <v>188.77538000000001</v>
      </c>
      <c r="BA41" s="50">
        <v>2.8088500000000001</v>
      </c>
      <c r="BB41" s="50">
        <v>324.43331999999998</v>
      </c>
      <c r="BC41" s="50">
        <v>1.4743499999999998</v>
      </c>
      <c r="BD41" s="50">
        <v>752.43362000000002</v>
      </c>
      <c r="BE41" s="50">
        <v>3.6510700000000003</v>
      </c>
      <c r="BF41" s="50">
        <v>799.62149999999997</v>
      </c>
      <c r="BG41" s="50">
        <v>4.0721799999999995</v>
      </c>
      <c r="BH41" s="50">
        <v>822.95349999999996</v>
      </c>
      <c r="BI41" s="50">
        <v>26.293290000000002</v>
      </c>
      <c r="BJ41" s="50">
        <v>874.20627000000002</v>
      </c>
      <c r="BK41" s="50">
        <v>36.714400000000005</v>
      </c>
      <c r="BL41" s="50">
        <v>931.79926999999998</v>
      </c>
      <c r="BM41" s="50">
        <v>37.135510000000004</v>
      </c>
      <c r="BN41" s="50">
        <v>1025.30034</v>
      </c>
      <c r="BO41" s="50">
        <v>37.556620000000002</v>
      </c>
      <c r="BP41" s="50">
        <v>1093.45417</v>
      </c>
      <c r="BQ41" s="50">
        <v>37.977730000000001</v>
      </c>
      <c r="BR41" s="50">
        <v>1167.7885200000001</v>
      </c>
      <c r="BS41" s="50">
        <v>14.84323</v>
      </c>
      <c r="BT41" s="50">
        <v>1212.5661299999999</v>
      </c>
      <c r="BU41" s="50">
        <v>38.819949999999999</v>
      </c>
      <c r="BV41" s="50">
        <v>53.174019999999999</v>
      </c>
      <c r="BW41" s="50">
        <v>0.42111000000000004</v>
      </c>
      <c r="BX41" s="50">
        <v>66.11045</v>
      </c>
      <c r="BY41" s="50">
        <v>0.84222000000000008</v>
      </c>
      <c r="BZ41" s="50">
        <v>476.62711999999999</v>
      </c>
      <c r="CA41" s="50">
        <v>18.272169999999999</v>
      </c>
      <c r="CB41" s="50">
        <v>527.79368999999997</v>
      </c>
      <c r="CC41" s="50">
        <v>18.272169999999999</v>
      </c>
      <c r="CD41" s="50">
        <v>592.05367000000001</v>
      </c>
      <c r="CE41" s="50">
        <v>18.272169999999999</v>
      </c>
      <c r="CF41" s="50">
        <v>628.06817000000001</v>
      </c>
      <c r="CG41" s="50">
        <v>18.272169999999999</v>
      </c>
      <c r="CH41" s="50">
        <v>670.85056000000009</v>
      </c>
      <c r="CI41" s="50">
        <v>18.272169999999999</v>
      </c>
      <c r="CJ41" s="50">
        <v>730.83656000000008</v>
      </c>
      <c r="CK41" s="50">
        <v>18.272169999999999</v>
      </c>
      <c r="CL41" s="50">
        <v>782.38797</v>
      </c>
      <c r="CM41" s="50">
        <v>18.272169999999999</v>
      </c>
      <c r="CN41" s="50">
        <v>811.59412999999995</v>
      </c>
      <c r="CO41" s="50">
        <v>18.272169999999999</v>
      </c>
      <c r="CP41" s="50">
        <v>858.5006800000001</v>
      </c>
      <c r="CQ41" s="50">
        <v>18.272169999999999</v>
      </c>
      <c r="CR41" s="50">
        <v>898.22616000000005</v>
      </c>
      <c r="CS41" s="50">
        <v>18.272169999999999</v>
      </c>
      <c r="CT41" s="50">
        <v>166.61133999999998</v>
      </c>
      <c r="CU41" s="50">
        <v>0</v>
      </c>
      <c r="CV41" s="50">
        <v>176.72633999999999</v>
      </c>
      <c r="CW41" s="50">
        <v>0</v>
      </c>
      <c r="CX41" s="50">
        <v>573.88420999999994</v>
      </c>
      <c r="CY41" s="50">
        <v>0</v>
      </c>
      <c r="CZ41" s="50">
        <v>585.66920999999991</v>
      </c>
      <c r="DA41" s="50">
        <v>0</v>
      </c>
      <c r="DB41" s="50">
        <v>668.13387999999998</v>
      </c>
      <c r="DC41" s="50">
        <v>0</v>
      </c>
      <c r="DD41" s="50">
        <v>687.94227999999998</v>
      </c>
      <c r="DE41" s="50">
        <v>0</v>
      </c>
      <c r="DF41" s="50">
        <v>760.94778000000008</v>
      </c>
      <c r="DG41" s="50">
        <v>0</v>
      </c>
      <c r="DH41" s="50">
        <v>813.9826700000001</v>
      </c>
      <c r="DI41" s="50">
        <v>0</v>
      </c>
      <c r="DJ41" s="50">
        <v>879.42207999999994</v>
      </c>
      <c r="DK41" s="50">
        <v>0</v>
      </c>
      <c r="DL41" s="50">
        <v>882.57208000000003</v>
      </c>
      <c r="DM41" s="50">
        <v>0</v>
      </c>
      <c r="DN41" s="50">
        <v>899.35368000000005</v>
      </c>
      <c r="DO41" s="50">
        <v>0</v>
      </c>
      <c r="DP41" s="50">
        <v>1041.5200400000001</v>
      </c>
      <c r="DQ41" s="51">
        <v>0</v>
      </c>
      <c r="DR41" s="52">
        <v>54.515810000000002</v>
      </c>
      <c r="DS41" s="53">
        <v>0</v>
      </c>
      <c r="DT41" s="54">
        <v>82.782799999999995</v>
      </c>
      <c r="DU41" s="51">
        <v>0</v>
      </c>
      <c r="DV41" s="52">
        <v>148.32335</v>
      </c>
      <c r="DW41" s="53">
        <v>0</v>
      </c>
      <c r="DX41" s="54">
        <v>450.96544</v>
      </c>
      <c r="DY41" s="51">
        <v>0</v>
      </c>
      <c r="DZ41" s="52">
        <v>501.13162</v>
      </c>
      <c r="EA41" s="53">
        <v>0</v>
      </c>
      <c r="EB41" s="54">
        <v>552.69034999999997</v>
      </c>
      <c r="EC41" s="51">
        <v>0</v>
      </c>
      <c r="ED41" s="52">
        <v>603.53944999999999</v>
      </c>
      <c r="EE41" s="53">
        <v>0</v>
      </c>
      <c r="EF41" s="52">
        <v>648.68970000000002</v>
      </c>
      <c r="EG41" s="53">
        <v>0</v>
      </c>
      <c r="EH41" s="54">
        <v>703.59090000000003</v>
      </c>
      <c r="EI41" s="53">
        <v>0</v>
      </c>
      <c r="EJ41" s="54">
        <v>705.98054000000002</v>
      </c>
      <c r="EK41" s="53">
        <v>0</v>
      </c>
      <c r="EL41" s="52">
        <v>748.14004</v>
      </c>
      <c r="EM41" s="55">
        <v>0</v>
      </c>
      <c r="EN41" s="52">
        <v>851.70090000000005</v>
      </c>
      <c r="EO41" s="55">
        <v>0</v>
      </c>
      <c r="EP41" s="52">
        <v>63.844910000000006</v>
      </c>
      <c r="EQ41" s="55">
        <v>0</v>
      </c>
      <c r="ER41" s="52">
        <v>70.420240000000007</v>
      </c>
      <c r="ES41" s="55">
        <v>0</v>
      </c>
      <c r="ET41" s="52">
        <v>147.96654000000001</v>
      </c>
      <c r="EU41" s="55">
        <v>0</v>
      </c>
      <c r="EV41" s="52">
        <v>477.53044</v>
      </c>
      <c r="EW41" s="55">
        <v>0</v>
      </c>
      <c r="EX41" s="52">
        <v>523.08205999999996</v>
      </c>
      <c r="EY41" s="55">
        <v>0</v>
      </c>
      <c r="EZ41" s="52">
        <v>568.98235999999997</v>
      </c>
      <c r="FA41" s="55">
        <v>0</v>
      </c>
      <c r="FB41" s="52">
        <v>581.40736000000004</v>
      </c>
      <c r="FC41" s="55">
        <v>0</v>
      </c>
      <c r="FD41" s="52">
        <v>675.54061000000002</v>
      </c>
      <c r="FE41" s="55">
        <v>0</v>
      </c>
      <c r="FF41" s="52">
        <v>756.97481000000005</v>
      </c>
      <c r="FG41" s="55">
        <v>0</v>
      </c>
      <c r="FH41" s="52">
        <v>775.00581</v>
      </c>
      <c r="FI41" s="55">
        <v>0</v>
      </c>
      <c r="FJ41" s="52">
        <v>805.77395000000001</v>
      </c>
      <c r="FK41" s="55">
        <v>0</v>
      </c>
      <c r="FL41" s="52">
        <v>894.43224999999995</v>
      </c>
      <c r="FM41" s="55">
        <v>0</v>
      </c>
      <c r="FN41" s="52">
        <v>83.509169999999997</v>
      </c>
      <c r="FO41" s="55">
        <v>0</v>
      </c>
      <c r="FP41" s="52">
        <v>99.137169999999998</v>
      </c>
      <c r="FQ41" s="55">
        <v>0</v>
      </c>
      <c r="FR41" s="52">
        <v>145.57039</v>
      </c>
      <c r="FS41" s="55">
        <v>0</v>
      </c>
      <c r="FT41" s="52">
        <v>178.71959000000001</v>
      </c>
      <c r="FU41" s="55">
        <v>0</v>
      </c>
      <c r="FV41" s="52">
        <v>512.04578000000004</v>
      </c>
      <c r="FW41" s="55">
        <v>0</v>
      </c>
      <c r="FX41" s="52">
        <v>537.54589999999996</v>
      </c>
      <c r="FY41" s="55">
        <v>0</v>
      </c>
      <c r="FZ41" s="52">
        <v>584.66152</v>
      </c>
      <c r="GA41" s="55">
        <v>0</v>
      </c>
      <c r="GB41" s="52">
        <v>650.42096000000004</v>
      </c>
      <c r="GC41" s="55">
        <v>0</v>
      </c>
      <c r="GD41" s="52">
        <v>718.53456000000006</v>
      </c>
      <c r="GE41" s="55">
        <v>0</v>
      </c>
      <c r="GF41" s="52">
        <v>740.31705999999997</v>
      </c>
      <c r="GG41" s="55">
        <v>0</v>
      </c>
      <c r="GH41" s="52">
        <v>749.61605999999995</v>
      </c>
      <c r="GI41" s="55">
        <v>0</v>
      </c>
      <c r="GJ41" s="52">
        <v>804.13508999999999</v>
      </c>
      <c r="GK41" s="55">
        <v>0</v>
      </c>
      <c r="GL41" s="52">
        <v>96.453909999999993</v>
      </c>
      <c r="GM41" s="55">
        <v>0</v>
      </c>
      <c r="GN41" s="52">
        <v>98.695909999999998</v>
      </c>
      <c r="GO41" s="55">
        <v>0</v>
      </c>
      <c r="GP41" s="52">
        <v>124.54200999999999</v>
      </c>
      <c r="GQ41" s="55">
        <v>0</v>
      </c>
      <c r="GR41" s="52">
        <v>161.23505</v>
      </c>
      <c r="GS41" s="55">
        <v>0</v>
      </c>
      <c r="GT41" s="52">
        <v>194.62790000000001</v>
      </c>
      <c r="GU41" s="55">
        <v>0</v>
      </c>
      <c r="GV41" s="52">
        <v>355.00020999999998</v>
      </c>
      <c r="GW41" s="55">
        <v>0</v>
      </c>
      <c r="GX41" s="52">
        <v>387.29313000000002</v>
      </c>
      <c r="GY41" s="55">
        <v>0</v>
      </c>
      <c r="GZ41" s="52">
        <v>407.93113</v>
      </c>
      <c r="HA41" s="55">
        <v>0</v>
      </c>
      <c r="HB41" s="52">
        <v>553.39719000000002</v>
      </c>
      <c r="HC41" s="55">
        <v>0</v>
      </c>
      <c r="HD41" s="52">
        <v>595.45519000000002</v>
      </c>
      <c r="HE41" s="55">
        <v>0</v>
      </c>
      <c r="HF41" s="52">
        <v>614.25719000000004</v>
      </c>
      <c r="HG41" s="55">
        <v>0</v>
      </c>
      <c r="HH41" s="52">
        <v>675.25148999999999</v>
      </c>
      <c r="HI41" s="55">
        <v>0</v>
      </c>
      <c r="HJ41" s="52">
        <v>71.405569999999997</v>
      </c>
      <c r="HK41" s="55">
        <v>0</v>
      </c>
      <c r="HL41" s="52">
        <v>167.00256999999999</v>
      </c>
      <c r="HM41" s="55">
        <v>0</v>
      </c>
      <c r="HN41" s="52">
        <v>203.93504999999999</v>
      </c>
      <c r="HO41" s="55">
        <v>0</v>
      </c>
      <c r="HP41" s="52">
        <v>246.16299000000001</v>
      </c>
      <c r="HQ41" s="55">
        <v>0</v>
      </c>
      <c r="HR41" s="52">
        <v>267.39087999999998</v>
      </c>
      <c r="HS41" s="55">
        <v>0</v>
      </c>
      <c r="HT41" s="52">
        <v>275.83789999999999</v>
      </c>
      <c r="HU41" s="55">
        <v>0</v>
      </c>
      <c r="HV41" s="52">
        <v>360.29410000000001</v>
      </c>
      <c r="HW41" s="55">
        <v>0</v>
      </c>
      <c r="HX41" s="52">
        <v>379.47410000000002</v>
      </c>
      <c r="HY41" s="55">
        <v>0</v>
      </c>
      <c r="HZ41" s="52">
        <v>455.87365999999997</v>
      </c>
      <c r="IA41" s="55">
        <v>0</v>
      </c>
      <c r="IB41" s="16" t="s">
        <v>79</v>
      </c>
    </row>
    <row r="42" spans="1:239" s="9" customFormat="1" ht="22.5" customHeight="1" x14ac:dyDescent="0.4">
      <c r="A42" s="15" t="s">
        <v>80</v>
      </c>
      <c r="B42" s="50">
        <v>0</v>
      </c>
      <c r="C42" s="50">
        <v>0</v>
      </c>
      <c r="D42" s="50">
        <v>26.929490000000001</v>
      </c>
      <c r="E42" s="50">
        <v>27.99999</v>
      </c>
      <c r="F42" s="50">
        <v>27.479490000000002</v>
      </c>
      <c r="G42" s="50">
        <v>45.935989999999997</v>
      </c>
      <c r="H42" s="50">
        <v>27.479490000000002</v>
      </c>
      <c r="I42" s="50">
        <v>45.935989999999997</v>
      </c>
      <c r="J42" s="50">
        <v>27.479490000000002</v>
      </c>
      <c r="K42" s="50">
        <v>45.935989999999997</v>
      </c>
      <c r="L42" s="50">
        <v>27.479490000000002</v>
      </c>
      <c r="M42" s="50">
        <v>45.935989999999997</v>
      </c>
      <c r="N42" s="50">
        <v>27.479490000000002</v>
      </c>
      <c r="O42" s="50">
        <v>45.935989999999997</v>
      </c>
      <c r="P42" s="50">
        <v>28.519490000000001</v>
      </c>
      <c r="Q42" s="50">
        <v>45.935989999999997</v>
      </c>
      <c r="R42" s="50">
        <v>28.909490000000002</v>
      </c>
      <c r="S42" s="50">
        <v>45.935989999999997</v>
      </c>
      <c r="T42" s="50">
        <v>28.909490000000002</v>
      </c>
      <c r="U42" s="50">
        <v>45.935989999999997</v>
      </c>
      <c r="V42" s="50">
        <v>28.909490000000002</v>
      </c>
      <c r="W42" s="50">
        <v>75.935990000000004</v>
      </c>
      <c r="X42" s="50">
        <v>28.909490000000002</v>
      </c>
      <c r="Y42" s="50">
        <v>75.935990000000004</v>
      </c>
      <c r="Z42" s="50">
        <v>34.5</v>
      </c>
      <c r="AA42" s="50">
        <v>0</v>
      </c>
      <c r="AB42" s="50">
        <v>50.199949999999994</v>
      </c>
      <c r="AC42" s="50">
        <v>0</v>
      </c>
      <c r="AD42" s="50">
        <v>50.2</v>
      </c>
      <c r="AE42" s="50">
        <v>0</v>
      </c>
      <c r="AF42" s="50">
        <v>50.199949999999994</v>
      </c>
      <c r="AG42" s="50">
        <v>0</v>
      </c>
      <c r="AH42" s="50">
        <v>50.199949999999994</v>
      </c>
      <c r="AI42" s="50">
        <v>0</v>
      </c>
      <c r="AJ42" s="50">
        <v>50.199949999999994</v>
      </c>
      <c r="AK42" s="50">
        <v>0</v>
      </c>
      <c r="AL42" s="50">
        <v>50.199949999999994</v>
      </c>
      <c r="AM42" s="50">
        <v>0</v>
      </c>
      <c r="AN42" s="50">
        <v>50.199949999999994</v>
      </c>
      <c r="AO42" s="50">
        <v>0</v>
      </c>
      <c r="AP42" s="50">
        <v>50.396180000000001</v>
      </c>
      <c r="AQ42" s="50">
        <v>0</v>
      </c>
      <c r="AR42" s="50">
        <v>50.396180000000001</v>
      </c>
      <c r="AS42" s="50">
        <v>0</v>
      </c>
      <c r="AT42" s="50">
        <v>50.396180000000001</v>
      </c>
      <c r="AU42" s="50">
        <v>0</v>
      </c>
      <c r="AV42" s="50">
        <v>50.396180000000001</v>
      </c>
      <c r="AW42" s="50">
        <v>0</v>
      </c>
      <c r="AX42" s="50">
        <v>0</v>
      </c>
      <c r="AY42" s="50">
        <v>0</v>
      </c>
      <c r="AZ42" s="50">
        <v>0</v>
      </c>
      <c r="BA42" s="50">
        <v>0</v>
      </c>
      <c r="BB42" s="50">
        <v>0</v>
      </c>
      <c r="BC42" s="50">
        <v>0</v>
      </c>
      <c r="BD42" s="50">
        <v>0</v>
      </c>
      <c r="BE42" s="50">
        <v>0</v>
      </c>
      <c r="BF42" s="50">
        <v>0</v>
      </c>
      <c r="BG42" s="50">
        <v>0</v>
      </c>
      <c r="BH42" s="50">
        <v>0</v>
      </c>
      <c r="BI42" s="50">
        <v>0</v>
      </c>
      <c r="BJ42" s="50">
        <v>0</v>
      </c>
      <c r="BK42" s="50">
        <v>0</v>
      </c>
      <c r="BL42" s="50">
        <v>0</v>
      </c>
      <c r="BM42" s="50">
        <v>0</v>
      </c>
      <c r="BN42" s="50">
        <v>0</v>
      </c>
      <c r="BO42" s="50">
        <v>0</v>
      </c>
      <c r="BP42" s="50">
        <v>0</v>
      </c>
      <c r="BQ42" s="50">
        <v>0</v>
      </c>
      <c r="BR42" s="50">
        <v>0</v>
      </c>
      <c r="BS42" s="50">
        <v>0</v>
      </c>
      <c r="BT42" s="50">
        <v>0</v>
      </c>
      <c r="BU42" s="50">
        <v>0</v>
      </c>
      <c r="BV42" s="50">
        <v>0</v>
      </c>
      <c r="BW42" s="50">
        <v>0</v>
      </c>
      <c r="BX42" s="50">
        <v>0</v>
      </c>
      <c r="BY42" s="50">
        <v>0</v>
      </c>
      <c r="BZ42" s="50">
        <v>0</v>
      </c>
      <c r="CA42" s="50">
        <v>0</v>
      </c>
      <c r="CB42" s="50">
        <v>0</v>
      </c>
      <c r="CC42" s="50">
        <v>0</v>
      </c>
      <c r="CD42" s="50">
        <v>0</v>
      </c>
      <c r="CE42" s="50">
        <v>0</v>
      </c>
      <c r="CF42" s="50">
        <v>0</v>
      </c>
      <c r="CG42" s="50">
        <v>2.6538600000000003</v>
      </c>
      <c r="CH42" s="50">
        <v>0</v>
      </c>
      <c r="CI42" s="50">
        <v>2.6538600000000003</v>
      </c>
      <c r="CJ42" s="50">
        <v>0</v>
      </c>
      <c r="CK42" s="50">
        <v>2.6538600000000003</v>
      </c>
      <c r="CL42" s="50">
        <v>0</v>
      </c>
      <c r="CM42" s="50">
        <v>2.6538600000000003</v>
      </c>
      <c r="CN42" s="50">
        <v>0</v>
      </c>
      <c r="CO42" s="50">
        <v>2.6538600000000003</v>
      </c>
      <c r="CP42" s="50">
        <v>0</v>
      </c>
      <c r="CQ42" s="50">
        <v>2.6538600000000003</v>
      </c>
      <c r="CR42" s="50">
        <v>0</v>
      </c>
      <c r="CS42" s="50">
        <v>2.6538600000000003</v>
      </c>
      <c r="CT42" s="50">
        <v>0</v>
      </c>
      <c r="CU42" s="50">
        <v>0</v>
      </c>
      <c r="CV42" s="50">
        <v>0</v>
      </c>
      <c r="CW42" s="50">
        <v>0</v>
      </c>
      <c r="CX42" s="50">
        <v>0</v>
      </c>
      <c r="CY42" s="50">
        <v>0</v>
      </c>
      <c r="CZ42" s="50">
        <v>0</v>
      </c>
      <c r="DA42" s="50">
        <v>0</v>
      </c>
      <c r="DB42" s="50">
        <v>0</v>
      </c>
      <c r="DC42" s="50">
        <v>0</v>
      </c>
      <c r="DD42" s="50">
        <v>0</v>
      </c>
      <c r="DE42" s="50">
        <v>0</v>
      </c>
      <c r="DF42" s="50">
        <v>0</v>
      </c>
      <c r="DG42" s="50">
        <v>0</v>
      </c>
      <c r="DH42" s="50">
        <v>0</v>
      </c>
      <c r="DI42" s="50">
        <v>0</v>
      </c>
      <c r="DJ42" s="50">
        <v>0</v>
      </c>
      <c r="DK42" s="50">
        <v>0</v>
      </c>
      <c r="DL42" s="50">
        <v>0</v>
      </c>
      <c r="DM42" s="50">
        <v>0</v>
      </c>
      <c r="DN42" s="50">
        <v>0</v>
      </c>
      <c r="DO42" s="50">
        <v>0</v>
      </c>
      <c r="DP42" s="50">
        <v>0</v>
      </c>
      <c r="DQ42" s="51">
        <v>0</v>
      </c>
      <c r="DR42" s="52">
        <v>0</v>
      </c>
      <c r="DS42" s="53">
        <v>0</v>
      </c>
      <c r="DT42" s="54">
        <v>0</v>
      </c>
      <c r="DU42" s="51">
        <v>0</v>
      </c>
      <c r="DV42" s="52">
        <v>0</v>
      </c>
      <c r="DW42" s="53">
        <v>0</v>
      </c>
      <c r="DX42" s="54">
        <v>0</v>
      </c>
      <c r="DY42" s="51">
        <v>0</v>
      </c>
      <c r="DZ42" s="52">
        <v>0</v>
      </c>
      <c r="EA42" s="53">
        <v>0</v>
      </c>
      <c r="EB42" s="54">
        <v>0</v>
      </c>
      <c r="EC42" s="51">
        <v>0</v>
      </c>
      <c r="ED42" s="52">
        <v>0</v>
      </c>
      <c r="EE42" s="53">
        <v>0</v>
      </c>
      <c r="EF42" s="52">
        <v>0</v>
      </c>
      <c r="EG42" s="53">
        <v>0</v>
      </c>
      <c r="EH42" s="54">
        <v>0</v>
      </c>
      <c r="EI42" s="53">
        <v>0</v>
      </c>
      <c r="EJ42" s="54">
        <v>0.93500000000000005</v>
      </c>
      <c r="EK42" s="53">
        <v>0</v>
      </c>
      <c r="EL42" s="52">
        <v>43.86</v>
      </c>
      <c r="EM42" s="55">
        <v>0</v>
      </c>
      <c r="EN42" s="52">
        <v>44.37</v>
      </c>
      <c r="EO42" s="55">
        <v>0</v>
      </c>
      <c r="EP42" s="52">
        <v>0</v>
      </c>
      <c r="EQ42" s="55">
        <v>0</v>
      </c>
      <c r="ER42" s="52">
        <v>1.7</v>
      </c>
      <c r="ES42" s="55">
        <v>0</v>
      </c>
      <c r="ET42" s="52">
        <v>2.5499999999999998</v>
      </c>
      <c r="EU42" s="55">
        <v>0</v>
      </c>
      <c r="EV42" s="52">
        <v>3.4</v>
      </c>
      <c r="EW42" s="55">
        <v>0</v>
      </c>
      <c r="EX42" s="52">
        <v>4.25</v>
      </c>
      <c r="EY42" s="55">
        <v>0</v>
      </c>
      <c r="EZ42" s="52">
        <v>45.475000000000001</v>
      </c>
      <c r="FA42" s="55">
        <v>0</v>
      </c>
      <c r="FB42" s="52">
        <v>48.024999999999999</v>
      </c>
      <c r="FC42" s="55">
        <v>0</v>
      </c>
      <c r="FD42" s="52">
        <v>48.45</v>
      </c>
      <c r="FE42" s="55">
        <v>0</v>
      </c>
      <c r="FF42" s="52">
        <v>59.524999999999999</v>
      </c>
      <c r="FG42" s="55">
        <v>0</v>
      </c>
      <c r="FH42" s="52">
        <v>62.075000000000003</v>
      </c>
      <c r="FI42" s="55">
        <v>0</v>
      </c>
      <c r="FJ42" s="52">
        <v>63.435000000000002</v>
      </c>
      <c r="FK42" s="55">
        <v>0</v>
      </c>
      <c r="FL42" s="52">
        <v>131.52000000000001</v>
      </c>
      <c r="FM42" s="55">
        <v>0</v>
      </c>
      <c r="FN42" s="52">
        <v>17.425000000000001</v>
      </c>
      <c r="FO42" s="55">
        <v>0</v>
      </c>
      <c r="FP42" s="52">
        <v>18.7</v>
      </c>
      <c r="FQ42" s="55">
        <v>3.1535000000000002</v>
      </c>
      <c r="FR42" s="52">
        <v>19.975000000000001</v>
      </c>
      <c r="FS42" s="55">
        <v>3.1535000000000002</v>
      </c>
      <c r="FT42" s="52">
        <v>22.524999999999999</v>
      </c>
      <c r="FU42" s="55">
        <v>3.1535000000000002</v>
      </c>
      <c r="FV42" s="52">
        <v>22.524999999999999</v>
      </c>
      <c r="FW42" s="55">
        <v>3.1535000000000002</v>
      </c>
      <c r="FX42" s="52">
        <v>25.074999999999999</v>
      </c>
      <c r="FY42" s="55">
        <v>3.1535000000000002</v>
      </c>
      <c r="FZ42" s="52">
        <v>26.35</v>
      </c>
      <c r="GA42" s="55">
        <v>3.1535000000000002</v>
      </c>
      <c r="GB42" s="52">
        <v>53.89</v>
      </c>
      <c r="GC42" s="55">
        <v>3.1535000000000002</v>
      </c>
      <c r="GD42" s="52">
        <v>58.674999999999997</v>
      </c>
      <c r="GE42" s="55">
        <v>3.1535000000000002</v>
      </c>
      <c r="GF42" s="52">
        <v>60.375</v>
      </c>
      <c r="GG42" s="55">
        <v>3.1535000000000002</v>
      </c>
      <c r="GH42" s="52">
        <v>61.225000000000001</v>
      </c>
      <c r="GI42" s="55">
        <v>3.1535000000000002</v>
      </c>
      <c r="GJ42" s="52">
        <v>62.924999999999997</v>
      </c>
      <c r="GK42" s="55">
        <v>3.1535000000000002</v>
      </c>
      <c r="GL42" s="52">
        <v>0.42499999999999999</v>
      </c>
      <c r="GM42" s="55">
        <v>0</v>
      </c>
      <c r="GN42" s="52">
        <v>0.85</v>
      </c>
      <c r="GO42" s="55">
        <v>0</v>
      </c>
      <c r="GP42" s="52">
        <v>2.6723400000000002</v>
      </c>
      <c r="GQ42" s="55">
        <v>0</v>
      </c>
      <c r="GR42" s="52">
        <v>6.4973400000000003</v>
      </c>
      <c r="GS42" s="55">
        <v>0</v>
      </c>
      <c r="GT42" s="52">
        <v>7.5194400000000003</v>
      </c>
      <c r="GU42" s="55">
        <v>0</v>
      </c>
      <c r="GV42" s="52">
        <v>9.6444399999999995</v>
      </c>
      <c r="GW42" s="55">
        <v>0</v>
      </c>
      <c r="GX42" s="52">
        <v>26.644439999999999</v>
      </c>
      <c r="GY42" s="55">
        <v>0.83752000000000004</v>
      </c>
      <c r="GZ42" s="52">
        <v>29.19444</v>
      </c>
      <c r="HA42" s="55">
        <v>0.83752000000000004</v>
      </c>
      <c r="HB42" s="52">
        <v>36.529440000000001</v>
      </c>
      <c r="HC42" s="55">
        <v>0.83752000000000004</v>
      </c>
      <c r="HD42" s="52">
        <v>37.379440000000002</v>
      </c>
      <c r="HE42" s="55">
        <v>0.83752000000000004</v>
      </c>
      <c r="HF42" s="52">
        <v>38.53201</v>
      </c>
      <c r="HG42" s="55">
        <v>0.83752000000000004</v>
      </c>
      <c r="HH42" s="52">
        <v>178.78706</v>
      </c>
      <c r="HI42" s="55">
        <v>0.83752000000000004</v>
      </c>
      <c r="HJ42" s="52">
        <v>2.125</v>
      </c>
      <c r="HK42" s="55">
        <v>0</v>
      </c>
      <c r="HL42" s="52">
        <v>5.1202300000000003</v>
      </c>
      <c r="HM42" s="55">
        <v>0</v>
      </c>
      <c r="HN42" s="52">
        <v>9.3058700000000005</v>
      </c>
      <c r="HO42" s="55">
        <v>0</v>
      </c>
      <c r="HP42" s="52">
        <v>12.56499</v>
      </c>
      <c r="HQ42" s="55">
        <v>0</v>
      </c>
      <c r="HR42" s="52">
        <v>13.51492</v>
      </c>
      <c r="HS42" s="55">
        <v>0</v>
      </c>
      <c r="HT42" s="52">
        <v>31.364920000000001</v>
      </c>
      <c r="HU42" s="55">
        <v>0</v>
      </c>
      <c r="HV42" s="52">
        <v>33.064920000000001</v>
      </c>
      <c r="HW42" s="55">
        <v>0</v>
      </c>
      <c r="HX42" s="52">
        <v>50.064920000000001</v>
      </c>
      <c r="HY42" s="55">
        <v>0</v>
      </c>
      <c r="HZ42" s="52">
        <v>54.849919999999997</v>
      </c>
      <c r="IA42" s="55">
        <v>0</v>
      </c>
      <c r="IB42" s="16" t="s">
        <v>121</v>
      </c>
    </row>
    <row r="43" spans="1:239" s="9" customFormat="1" ht="22.5" customHeight="1" x14ac:dyDescent="0.4">
      <c r="A43" s="15" t="s">
        <v>81</v>
      </c>
      <c r="B43" s="50">
        <v>0</v>
      </c>
      <c r="C43" s="50">
        <v>0</v>
      </c>
      <c r="D43" s="50">
        <v>162.97541000000001</v>
      </c>
      <c r="E43" s="50">
        <v>0</v>
      </c>
      <c r="F43" s="50">
        <v>162.97541000000001</v>
      </c>
      <c r="G43" s="50">
        <v>0</v>
      </c>
      <c r="H43" s="50">
        <v>162.97541000000001</v>
      </c>
      <c r="I43" s="50">
        <v>0</v>
      </c>
      <c r="J43" s="50">
        <v>162.97541000000001</v>
      </c>
      <c r="K43" s="50">
        <v>0</v>
      </c>
      <c r="L43" s="50">
        <v>162.97541000000001</v>
      </c>
      <c r="M43" s="50">
        <v>0</v>
      </c>
      <c r="N43" s="50">
        <v>162.97541000000001</v>
      </c>
      <c r="O43" s="50">
        <v>0</v>
      </c>
      <c r="P43" s="50">
        <v>231.00341</v>
      </c>
      <c r="Q43" s="50">
        <v>0</v>
      </c>
      <c r="R43" s="50">
        <v>231.00341</v>
      </c>
      <c r="S43" s="50">
        <v>0</v>
      </c>
      <c r="T43" s="50">
        <v>249.19662</v>
      </c>
      <c r="U43" s="50">
        <v>0</v>
      </c>
      <c r="V43" s="50">
        <v>249.19662</v>
      </c>
      <c r="W43" s="50">
        <v>0</v>
      </c>
      <c r="X43" s="50">
        <v>249.19662</v>
      </c>
      <c r="Y43" s="50">
        <v>0</v>
      </c>
      <c r="Z43" s="50">
        <v>0</v>
      </c>
      <c r="AA43" s="50">
        <v>0</v>
      </c>
      <c r="AB43" s="50">
        <v>161.96679999999998</v>
      </c>
      <c r="AC43" s="50">
        <v>0</v>
      </c>
      <c r="AD43" s="50">
        <v>182.20479</v>
      </c>
      <c r="AE43" s="50">
        <v>0</v>
      </c>
      <c r="AF43" s="50">
        <v>182.20479</v>
      </c>
      <c r="AG43" s="50">
        <v>0</v>
      </c>
      <c r="AH43" s="50">
        <v>182.20479</v>
      </c>
      <c r="AI43" s="50">
        <v>0</v>
      </c>
      <c r="AJ43" s="50">
        <v>182.20479</v>
      </c>
      <c r="AK43" s="50">
        <v>0</v>
      </c>
      <c r="AL43" s="50">
        <v>182.20479</v>
      </c>
      <c r="AM43" s="50">
        <v>0</v>
      </c>
      <c r="AN43" s="50">
        <v>209.39558</v>
      </c>
      <c r="AO43" s="50">
        <v>0</v>
      </c>
      <c r="AP43" s="50">
        <v>227.54558</v>
      </c>
      <c r="AQ43" s="50">
        <v>0</v>
      </c>
      <c r="AR43" s="50">
        <v>227.58557999999999</v>
      </c>
      <c r="AS43" s="50">
        <v>0</v>
      </c>
      <c r="AT43" s="50">
        <v>227.58557999999999</v>
      </c>
      <c r="AU43" s="50">
        <v>0</v>
      </c>
      <c r="AV43" s="50">
        <v>269.89418999999998</v>
      </c>
      <c r="AW43" s="50">
        <v>0</v>
      </c>
      <c r="AX43" s="50">
        <v>0</v>
      </c>
      <c r="AY43" s="50">
        <v>0</v>
      </c>
      <c r="AZ43" s="50">
        <v>226.0881</v>
      </c>
      <c r="BA43" s="50">
        <v>0</v>
      </c>
      <c r="BB43" s="50">
        <v>301.55164000000002</v>
      </c>
      <c r="BC43" s="50">
        <v>0</v>
      </c>
      <c r="BD43" s="50">
        <v>306.12634000000003</v>
      </c>
      <c r="BE43" s="50">
        <v>0</v>
      </c>
      <c r="BF43" s="50">
        <v>306.12634000000003</v>
      </c>
      <c r="BG43" s="50">
        <v>0</v>
      </c>
      <c r="BH43" s="50">
        <v>306.12634000000003</v>
      </c>
      <c r="BI43" s="50">
        <v>0</v>
      </c>
      <c r="BJ43" s="50">
        <v>316.76834000000002</v>
      </c>
      <c r="BK43" s="50">
        <v>0</v>
      </c>
      <c r="BL43" s="50">
        <v>343.54164000000003</v>
      </c>
      <c r="BM43" s="50">
        <v>0</v>
      </c>
      <c r="BN43" s="50">
        <v>343.54164000000003</v>
      </c>
      <c r="BO43" s="50">
        <v>0</v>
      </c>
      <c r="BP43" s="50">
        <v>343.54164000000003</v>
      </c>
      <c r="BQ43" s="50">
        <v>0</v>
      </c>
      <c r="BR43" s="50">
        <v>353.60179999999997</v>
      </c>
      <c r="BS43" s="50">
        <v>0</v>
      </c>
      <c r="BT43" s="50">
        <v>361.1345</v>
      </c>
      <c r="BU43" s="50">
        <v>0</v>
      </c>
      <c r="BV43" s="50">
        <v>0</v>
      </c>
      <c r="BW43" s="50">
        <v>0</v>
      </c>
      <c r="BX43" s="50">
        <v>74.994880000000009</v>
      </c>
      <c r="BY43" s="50">
        <v>0</v>
      </c>
      <c r="BZ43" s="50">
        <v>74.994880000000009</v>
      </c>
      <c r="CA43" s="50">
        <v>0</v>
      </c>
      <c r="CB43" s="50">
        <v>74.994880000000009</v>
      </c>
      <c r="CC43" s="50">
        <v>0</v>
      </c>
      <c r="CD43" s="50">
        <v>74.994880000000009</v>
      </c>
      <c r="CE43" s="50">
        <v>0</v>
      </c>
      <c r="CF43" s="50">
        <v>86.230829999999997</v>
      </c>
      <c r="CG43" s="50">
        <v>0</v>
      </c>
      <c r="CH43" s="50">
        <v>86.230829999999997</v>
      </c>
      <c r="CI43" s="50">
        <v>0</v>
      </c>
      <c r="CJ43" s="50">
        <v>86.230829999999997</v>
      </c>
      <c r="CK43" s="50">
        <v>0</v>
      </c>
      <c r="CL43" s="50">
        <v>86.230829999999997</v>
      </c>
      <c r="CM43" s="50">
        <v>0</v>
      </c>
      <c r="CN43" s="50">
        <v>86.230829999999997</v>
      </c>
      <c r="CO43" s="50">
        <v>0</v>
      </c>
      <c r="CP43" s="50">
        <v>86.230829999999997</v>
      </c>
      <c r="CQ43" s="50">
        <v>0</v>
      </c>
      <c r="CR43" s="50">
        <v>86.230829999999997</v>
      </c>
      <c r="CS43" s="50">
        <v>0</v>
      </c>
      <c r="CT43" s="50">
        <v>0</v>
      </c>
      <c r="CU43" s="50">
        <v>0</v>
      </c>
      <c r="CV43" s="50">
        <v>0</v>
      </c>
      <c r="CW43" s="50">
        <v>0</v>
      </c>
      <c r="CX43" s="50">
        <v>215.75262000000001</v>
      </c>
      <c r="CY43" s="50">
        <v>0</v>
      </c>
      <c r="CZ43" s="50">
        <v>215.75262000000001</v>
      </c>
      <c r="DA43" s="50">
        <v>0</v>
      </c>
      <c r="DB43" s="50">
        <v>215.75262000000001</v>
      </c>
      <c r="DC43" s="50">
        <v>0</v>
      </c>
      <c r="DD43" s="50">
        <v>215.75262000000001</v>
      </c>
      <c r="DE43" s="50">
        <v>0</v>
      </c>
      <c r="DF43" s="50">
        <v>195.57325</v>
      </c>
      <c r="DG43" s="50">
        <v>0</v>
      </c>
      <c r="DH43" s="50">
        <v>226.42676999999998</v>
      </c>
      <c r="DI43" s="50">
        <v>0</v>
      </c>
      <c r="DJ43" s="50">
        <v>250.78851999999998</v>
      </c>
      <c r="DK43" s="50">
        <v>0</v>
      </c>
      <c r="DL43" s="50">
        <v>250.78852000000001</v>
      </c>
      <c r="DM43" s="50">
        <v>0</v>
      </c>
      <c r="DN43" s="50">
        <v>250.78852000000001</v>
      </c>
      <c r="DO43" s="50">
        <v>0</v>
      </c>
      <c r="DP43" s="50">
        <v>283.06869999999998</v>
      </c>
      <c r="DQ43" s="51">
        <v>0</v>
      </c>
      <c r="DR43" s="52">
        <v>0</v>
      </c>
      <c r="DS43" s="53">
        <v>0</v>
      </c>
      <c r="DT43" s="54">
        <v>0</v>
      </c>
      <c r="DU43" s="51">
        <v>0</v>
      </c>
      <c r="DV43" s="52">
        <v>88.874430000000004</v>
      </c>
      <c r="DW43" s="53">
        <v>0</v>
      </c>
      <c r="DX43" s="54">
        <v>88.874430000000004</v>
      </c>
      <c r="DY43" s="51">
        <v>0</v>
      </c>
      <c r="DZ43" s="52">
        <v>88.874430000000004</v>
      </c>
      <c r="EA43" s="53">
        <v>0</v>
      </c>
      <c r="EB43" s="54">
        <v>88.874430000000004</v>
      </c>
      <c r="EC43" s="51">
        <v>0</v>
      </c>
      <c r="ED43" s="52">
        <v>88.874430000000004</v>
      </c>
      <c r="EE43" s="53">
        <v>0</v>
      </c>
      <c r="EF43" s="52">
        <v>120.56413000000001</v>
      </c>
      <c r="EG43" s="53">
        <v>0</v>
      </c>
      <c r="EH43" s="54">
        <v>120.56413000000001</v>
      </c>
      <c r="EI43" s="53">
        <v>0</v>
      </c>
      <c r="EJ43" s="54">
        <v>120.56413000000001</v>
      </c>
      <c r="EK43" s="53">
        <v>0</v>
      </c>
      <c r="EL43" s="52">
        <v>135.86412999999999</v>
      </c>
      <c r="EM43" s="55">
        <v>0</v>
      </c>
      <c r="EN43" s="52">
        <v>135.86412999999999</v>
      </c>
      <c r="EO43" s="55">
        <v>0</v>
      </c>
      <c r="EP43" s="52">
        <v>0</v>
      </c>
      <c r="EQ43" s="55">
        <v>0</v>
      </c>
      <c r="ER43" s="52">
        <v>0</v>
      </c>
      <c r="ES43" s="55">
        <v>0</v>
      </c>
      <c r="ET43" s="52">
        <v>87.24615</v>
      </c>
      <c r="EU43" s="55">
        <v>0</v>
      </c>
      <c r="EV43" s="52">
        <v>87.24615</v>
      </c>
      <c r="EW43" s="55">
        <v>0</v>
      </c>
      <c r="EX43" s="52">
        <v>87.24615</v>
      </c>
      <c r="EY43" s="55">
        <v>0</v>
      </c>
      <c r="EZ43" s="52">
        <v>87.24615</v>
      </c>
      <c r="FA43" s="55">
        <v>0</v>
      </c>
      <c r="FB43" s="52">
        <v>87.24615</v>
      </c>
      <c r="FC43" s="55">
        <v>0</v>
      </c>
      <c r="FD43" s="52">
        <v>87.24615</v>
      </c>
      <c r="FE43" s="55">
        <v>0</v>
      </c>
      <c r="FF43" s="52">
        <v>87.24615</v>
      </c>
      <c r="FG43" s="55">
        <v>0</v>
      </c>
      <c r="FH43" s="52">
        <v>102.54615</v>
      </c>
      <c r="FI43" s="55">
        <v>0</v>
      </c>
      <c r="FJ43" s="52">
        <v>102.54615</v>
      </c>
      <c r="FK43" s="55">
        <v>0</v>
      </c>
      <c r="FL43" s="52">
        <v>102.54615</v>
      </c>
      <c r="FM43" s="55">
        <v>0</v>
      </c>
      <c r="FN43" s="52">
        <v>0</v>
      </c>
      <c r="FO43" s="55">
        <v>0</v>
      </c>
      <c r="FP43" s="52">
        <v>0</v>
      </c>
      <c r="FQ43" s="55">
        <v>0</v>
      </c>
      <c r="FR43" s="52">
        <v>0</v>
      </c>
      <c r="FS43" s="55">
        <v>0</v>
      </c>
      <c r="FT43" s="52">
        <v>0</v>
      </c>
      <c r="FU43" s="55">
        <v>0</v>
      </c>
      <c r="FV43" s="52">
        <v>0</v>
      </c>
      <c r="FW43" s="55">
        <v>0</v>
      </c>
      <c r="FX43" s="52">
        <v>0</v>
      </c>
      <c r="FY43" s="55">
        <v>0</v>
      </c>
      <c r="FZ43" s="52">
        <v>0</v>
      </c>
      <c r="GA43" s="55">
        <v>0</v>
      </c>
      <c r="GB43" s="52">
        <v>0</v>
      </c>
      <c r="GC43" s="55">
        <v>0</v>
      </c>
      <c r="GD43" s="52">
        <v>0</v>
      </c>
      <c r="GE43" s="55">
        <v>0</v>
      </c>
      <c r="GF43" s="52">
        <v>0</v>
      </c>
      <c r="GG43" s="55">
        <v>0</v>
      </c>
      <c r="GH43" s="52">
        <v>15.3</v>
      </c>
      <c r="GI43" s="55">
        <v>0</v>
      </c>
      <c r="GJ43" s="52">
        <v>15.3</v>
      </c>
      <c r="GK43" s="55">
        <v>0</v>
      </c>
      <c r="GL43" s="52">
        <v>0</v>
      </c>
      <c r="GM43" s="55">
        <v>0</v>
      </c>
      <c r="GN43" s="52">
        <v>2117.0323699999999</v>
      </c>
      <c r="GO43" s="55">
        <v>0</v>
      </c>
      <c r="GP43" s="52">
        <v>2117.0323699999999</v>
      </c>
      <c r="GQ43" s="55">
        <v>0</v>
      </c>
      <c r="GR43" s="52">
        <v>2128.63562</v>
      </c>
      <c r="GS43" s="55">
        <v>0</v>
      </c>
      <c r="GT43" s="52">
        <v>2128.63562</v>
      </c>
      <c r="GU43" s="55">
        <v>0</v>
      </c>
      <c r="GV43" s="52">
        <v>2136.9690999999998</v>
      </c>
      <c r="GW43" s="55">
        <v>0</v>
      </c>
      <c r="GX43" s="52">
        <v>2136.9690999999998</v>
      </c>
      <c r="GY43" s="55">
        <v>0</v>
      </c>
      <c r="GZ43" s="52">
        <v>2151.7071500000002</v>
      </c>
      <c r="HA43" s="55">
        <v>0</v>
      </c>
      <c r="HB43" s="52">
        <v>2151.7071500000002</v>
      </c>
      <c r="HC43" s="55">
        <v>0</v>
      </c>
      <c r="HD43" s="52">
        <v>2151.7071500000002</v>
      </c>
      <c r="HE43" s="55">
        <v>0</v>
      </c>
      <c r="HF43" s="52">
        <v>2167.0124900000001</v>
      </c>
      <c r="HG43" s="55">
        <v>0</v>
      </c>
      <c r="HH43" s="52">
        <v>2179.04837</v>
      </c>
      <c r="HI43" s="55">
        <v>0</v>
      </c>
      <c r="HJ43" s="52">
        <v>6.5670999999999999</v>
      </c>
      <c r="HK43" s="55">
        <v>0</v>
      </c>
      <c r="HL43" s="52">
        <v>6.5670999999999999</v>
      </c>
      <c r="HM43" s="55">
        <v>0</v>
      </c>
      <c r="HN43" s="52">
        <v>13.367100000000001</v>
      </c>
      <c r="HO43" s="55">
        <v>0</v>
      </c>
      <c r="HP43" s="52">
        <v>13.367100000000001</v>
      </c>
      <c r="HQ43" s="55">
        <v>0</v>
      </c>
      <c r="HR43" s="52">
        <v>13.367100000000001</v>
      </c>
      <c r="HS43" s="55">
        <v>0</v>
      </c>
      <c r="HT43" s="52">
        <v>16.749559999999999</v>
      </c>
      <c r="HU43" s="55">
        <v>0</v>
      </c>
      <c r="HV43" s="52">
        <v>16.749559999999999</v>
      </c>
      <c r="HW43" s="55">
        <v>0</v>
      </c>
      <c r="HX43" s="52">
        <v>158.22890000000001</v>
      </c>
      <c r="HY43" s="55">
        <v>0</v>
      </c>
      <c r="HZ43" s="52">
        <v>165.1344</v>
      </c>
      <c r="IA43" s="55">
        <v>0</v>
      </c>
      <c r="IB43" s="16" t="s">
        <v>122</v>
      </c>
    </row>
    <row r="44" spans="1:239" s="9" customFormat="1" ht="42" x14ac:dyDescent="0.4">
      <c r="A44" s="15" t="s">
        <v>82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50">
        <v>0</v>
      </c>
      <c r="AH44" s="50">
        <v>0</v>
      </c>
      <c r="AI44" s="50">
        <v>0</v>
      </c>
      <c r="AJ44" s="50">
        <v>0</v>
      </c>
      <c r="AK44" s="50">
        <v>0</v>
      </c>
      <c r="AL44" s="50">
        <v>0</v>
      </c>
      <c r="AM44" s="50">
        <v>0</v>
      </c>
      <c r="AN44" s="50">
        <v>0</v>
      </c>
      <c r="AO44" s="50">
        <v>0</v>
      </c>
      <c r="AP44" s="50">
        <v>0</v>
      </c>
      <c r="AQ44" s="50">
        <v>0</v>
      </c>
      <c r="AR44" s="50">
        <v>0</v>
      </c>
      <c r="AS44" s="50">
        <v>0</v>
      </c>
      <c r="AT44" s="50">
        <v>0</v>
      </c>
      <c r="AU44" s="50">
        <v>0</v>
      </c>
      <c r="AV44" s="50">
        <v>0</v>
      </c>
      <c r="AW44" s="50">
        <v>0</v>
      </c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>
        <v>0</v>
      </c>
      <c r="BQ44" s="50">
        <v>0</v>
      </c>
      <c r="BR44" s="50">
        <v>27.335999999999999</v>
      </c>
      <c r="BS44" s="50">
        <v>0</v>
      </c>
      <c r="BT44" s="50">
        <v>43.225000000000001</v>
      </c>
      <c r="BU44" s="50">
        <v>0</v>
      </c>
      <c r="BV44" s="50">
        <v>0</v>
      </c>
      <c r="BW44" s="50">
        <v>0</v>
      </c>
      <c r="BX44" s="50">
        <v>0</v>
      </c>
      <c r="BY44" s="50">
        <v>0</v>
      </c>
      <c r="BZ44" s="50">
        <v>0</v>
      </c>
      <c r="CA44" s="50">
        <v>0</v>
      </c>
      <c r="CB44" s="50">
        <v>0</v>
      </c>
      <c r="CC44" s="50">
        <v>0</v>
      </c>
      <c r="CD44" s="50">
        <v>0</v>
      </c>
      <c r="CE44" s="50">
        <v>0</v>
      </c>
      <c r="CF44" s="50">
        <v>0</v>
      </c>
      <c r="CG44" s="50">
        <v>0</v>
      </c>
      <c r="CH44" s="50">
        <v>0</v>
      </c>
      <c r="CI44" s="50">
        <v>0</v>
      </c>
      <c r="CJ44" s="50">
        <v>0</v>
      </c>
      <c r="CK44" s="50">
        <v>0</v>
      </c>
      <c r="CL44" s="50">
        <v>0</v>
      </c>
      <c r="CM44" s="50">
        <v>0</v>
      </c>
      <c r="CN44" s="50">
        <v>0</v>
      </c>
      <c r="CO44" s="50">
        <v>0</v>
      </c>
      <c r="CP44" s="50">
        <v>0</v>
      </c>
      <c r="CQ44" s="50">
        <v>0</v>
      </c>
      <c r="CR44" s="50">
        <v>0</v>
      </c>
      <c r="CS44" s="50">
        <v>0</v>
      </c>
      <c r="CT44" s="50">
        <v>0</v>
      </c>
      <c r="CU44" s="50">
        <v>0</v>
      </c>
      <c r="CV44" s="50">
        <v>0</v>
      </c>
      <c r="CW44" s="50">
        <v>0</v>
      </c>
      <c r="CX44" s="50">
        <v>0</v>
      </c>
      <c r="CY44" s="50">
        <v>0</v>
      </c>
      <c r="CZ44" s="50">
        <v>0</v>
      </c>
      <c r="DA44" s="50">
        <v>0</v>
      </c>
      <c r="DB44" s="50">
        <v>0</v>
      </c>
      <c r="DC44" s="50">
        <v>0</v>
      </c>
      <c r="DD44" s="50">
        <v>0</v>
      </c>
      <c r="DE44" s="50">
        <v>0</v>
      </c>
      <c r="DF44" s="50">
        <v>0</v>
      </c>
      <c r="DG44" s="50">
        <v>0</v>
      </c>
      <c r="DH44" s="50">
        <v>0</v>
      </c>
      <c r="DI44" s="50">
        <v>0</v>
      </c>
      <c r="DJ44" s="50">
        <v>0</v>
      </c>
      <c r="DK44" s="50">
        <v>0</v>
      </c>
      <c r="DL44" s="50">
        <v>0</v>
      </c>
      <c r="DM44" s="50">
        <v>0</v>
      </c>
      <c r="DN44" s="50">
        <v>0</v>
      </c>
      <c r="DO44" s="50">
        <v>0</v>
      </c>
      <c r="DP44" s="50">
        <v>0</v>
      </c>
      <c r="DQ44" s="51">
        <v>0</v>
      </c>
      <c r="DR44" s="52">
        <v>0</v>
      </c>
      <c r="DS44" s="53">
        <v>0</v>
      </c>
      <c r="DT44" s="54">
        <v>0</v>
      </c>
      <c r="DU44" s="51">
        <v>0</v>
      </c>
      <c r="DV44" s="52">
        <v>0</v>
      </c>
      <c r="DW44" s="53">
        <v>0</v>
      </c>
      <c r="DX44" s="54">
        <v>0</v>
      </c>
      <c r="DY44" s="51">
        <v>0</v>
      </c>
      <c r="DZ44" s="52">
        <v>0</v>
      </c>
      <c r="EA44" s="53">
        <v>0</v>
      </c>
      <c r="EB44" s="54">
        <v>0</v>
      </c>
      <c r="EC44" s="51">
        <v>0</v>
      </c>
      <c r="ED44" s="52">
        <v>0</v>
      </c>
      <c r="EE44" s="53">
        <v>0</v>
      </c>
      <c r="EF44" s="52">
        <v>0</v>
      </c>
      <c r="EG44" s="53">
        <v>0</v>
      </c>
      <c r="EH44" s="54">
        <v>0</v>
      </c>
      <c r="EI44" s="53">
        <v>0</v>
      </c>
      <c r="EJ44" s="54">
        <v>0</v>
      </c>
      <c r="EK44" s="53">
        <v>0</v>
      </c>
      <c r="EL44" s="52">
        <v>0</v>
      </c>
      <c r="EM44" s="55">
        <v>0</v>
      </c>
      <c r="EN44" s="52">
        <v>0</v>
      </c>
      <c r="EO44" s="55">
        <v>0</v>
      </c>
      <c r="EP44" s="52">
        <v>0</v>
      </c>
      <c r="EQ44" s="55">
        <v>0</v>
      </c>
      <c r="ER44" s="52">
        <v>0</v>
      </c>
      <c r="ES44" s="55">
        <v>0</v>
      </c>
      <c r="ET44" s="52">
        <v>0</v>
      </c>
      <c r="EU44" s="55">
        <v>0</v>
      </c>
      <c r="EV44" s="52">
        <v>0</v>
      </c>
      <c r="EW44" s="55">
        <v>0</v>
      </c>
      <c r="EX44" s="52">
        <v>0</v>
      </c>
      <c r="EY44" s="55">
        <v>0</v>
      </c>
      <c r="EZ44" s="52">
        <v>0</v>
      </c>
      <c r="FA44" s="55">
        <v>0</v>
      </c>
      <c r="FB44" s="52">
        <v>0</v>
      </c>
      <c r="FC44" s="55">
        <v>0</v>
      </c>
      <c r="FD44" s="52">
        <v>0</v>
      </c>
      <c r="FE44" s="55">
        <v>0</v>
      </c>
      <c r="FF44" s="52">
        <v>0</v>
      </c>
      <c r="FG44" s="55">
        <v>0</v>
      </c>
      <c r="FH44" s="52">
        <v>0</v>
      </c>
      <c r="FI44" s="55">
        <v>0</v>
      </c>
      <c r="FJ44" s="52">
        <v>0</v>
      </c>
      <c r="FK44" s="55">
        <v>0</v>
      </c>
      <c r="FL44" s="52">
        <v>0</v>
      </c>
      <c r="FM44" s="55">
        <v>0</v>
      </c>
      <c r="FN44" s="52">
        <v>0</v>
      </c>
      <c r="FO44" s="55">
        <v>0</v>
      </c>
      <c r="FP44" s="52">
        <v>0</v>
      </c>
      <c r="FQ44" s="55">
        <v>0</v>
      </c>
      <c r="FR44" s="52">
        <v>0</v>
      </c>
      <c r="FS44" s="55">
        <v>0</v>
      </c>
      <c r="FT44" s="52">
        <v>0</v>
      </c>
      <c r="FU44" s="55">
        <v>0</v>
      </c>
      <c r="FV44" s="52">
        <v>0</v>
      </c>
      <c r="FW44" s="55">
        <v>0</v>
      </c>
      <c r="FX44" s="52">
        <v>0</v>
      </c>
      <c r="FY44" s="55">
        <v>0</v>
      </c>
      <c r="FZ44" s="52">
        <v>0</v>
      </c>
      <c r="GA44" s="55">
        <v>0</v>
      </c>
      <c r="GB44" s="52">
        <v>0</v>
      </c>
      <c r="GC44" s="55">
        <v>0</v>
      </c>
      <c r="GD44" s="52">
        <v>0</v>
      </c>
      <c r="GE44" s="55">
        <v>0</v>
      </c>
      <c r="GF44" s="52">
        <v>0</v>
      </c>
      <c r="GG44" s="55">
        <v>0</v>
      </c>
      <c r="GH44" s="52">
        <v>0</v>
      </c>
      <c r="GI44" s="55">
        <v>0</v>
      </c>
      <c r="GJ44" s="52">
        <v>0</v>
      </c>
      <c r="GK44" s="55">
        <v>0</v>
      </c>
      <c r="GL44" s="52">
        <v>0</v>
      </c>
      <c r="GM44" s="55">
        <v>0</v>
      </c>
      <c r="GN44" s="52">
        <v>0</v>
      </c>
      <c r="GO44" s="55">
        <v>0</v>
      </c>
      <c r="GP44" s="52">
        <v>0</v>
      </c>
      <c r="GQ44" s="55">
        <v>0</v>
      </c>
      <c r="GR44" s="52">
        <v>0</v>
      </c>
      <c r="GS44" s="55">
        <v>0</v>
      </c>
      <c r="GT44" s="52">
        <v>0</v>
      </c>
      <c r="GU44" s="55">
        <v>0</v>
      </c>
      <c r="GV44" s="52">
        <v>0</v>
      </c>
      <c r="GW44" s="55">
        <v>0</v>
      </c>
      <c r="GX44" s="52">
        <v>0</v>
      </c>
      <c r="GY44" s="55">
        <v>0</v>
      </c>
      <c r="GZ44" s="52">
        <v>0</v>
      </c>
      <c r="HA44" s="55">
        <v>0</v>
      </c>
      <c r="HB44" s="52">
        <v>0</v>
      </c>
      <c r="HC44" s="55">
        <v>0</v>
      </c>
      <c r="HD44" s="52">
        <v>0</v>
      </c>
      <c r="HE44" s="55">
        <v>0</v>
      </c>
      <c r="HF44" s="52">
        <v>0</v>
      </c>
      <c r="HG44" s="55">
        <v>0</v>
      </c>
      <c r="HH44" s="52">
        <v>0</v>
      </c>
      <c r="HI44" s="55">
        <v>0</v>
      </c>
      <c r="HJ44" s="52">
        <v>0</v>
      </c>
      <c r="HK44" s="55">
        <v>0</v>
      </c>
      <c r="HL44" s="52">
        <v>0</v>
      </c>
      <c r="HM44" s="55">
        <v>0</v>
      </c>
      <c r="HN44" s="52">
        <v>0</v>
      </c>
      <c r="HO44" s="55">
        <v>0</v>
      </c>
      <c r="HP44" s="52">
        <v>0</v>
      </c>
      <c r="HQ44" s="55">
        <v>0</v>
      </c>
      <c r="HR44" s="52">
        <v>0</v>
      </c>
      <c r="HS44" s="55">
        <v>0</v>
      </c>
      <c r="HT44" s="52">
        <v>0</v>
      </c>
      <c r="HU44" s="55">
        <v>0</v>
      </c>
      <c r="HV44" s="52">
        <v>0</v>
      </c>
      <c r="HW44" s="55">
        <v>0</v>
      </c>
      <c r="HX44" s="52">
        <v>0</v>
      </c>
      <c r="HY44" s="55">
        <v>0</v>
      </c>
      <c r="HZ44" s="52">
        <v>0</v>
      </c>
      <c r="IA44" s="55">
        <v>0</v>
      </c>
      <c r="IB44" s="16" t="s">
        <v>123</v>
      </c>
      <c r="ID44" s="81"/>
      <c r="IE44" s="82"/>
    </row>
    <row r="45" spans="1:239" s="9" customFormat="1" ht="22.5" customHeight="1" x14ac:dyDescent="0.4">
      <c r="A45" s="15" t="s">
        <v>83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50">
        <v>0</v>
      </c>
      <c r="AH45" s="50">
        <v>0</v>
      </c>
      <c r="AI45" s="50">
        <v>0</v>
      </c>
      <c r="AJ45" s="50">
        <v>0</v>
      </c>
      <c r="AK45" s="50">
        <v>0</v>
      </c>
      <c r="AL45" s="50">
        <v>0</v>
      </c>
      <c r="AM45" s="50">
        <v>0</v>
      </c>
      <c r="AN45" s="50">
        <v>0</v>
      </c>
      <c r="AO45" s="50">
        <v>0</v>
      </c>
      <c r="AP45" s="50">
        <v>0</v>
      </c>
      <c r="AQ45" s="50">
        <v>0</v>
      </c>
      <c r="AR45" s="50">
        <v>0</v>
      </c>
      <c r="AS45" s="50">
        <v>0</v>
      </c>
      <c r="AT45" s="50">
        <v>0</v>
      </c>
      <c r="AU45" s="50">
        <v>0</v>
      </c>
      <c r="AV45" s="50">
        <v>0</v>
      </c>
      <c r="AW45" s="50">
        <v>0</v>
      </c>
      <c r="AX45" s="50">
        <v>0</v>
      </c>
      <c r="AY45" s="50">
        <v>0</v>
      </c>
      <c r="AZ45" s="50">
        <v>0</v>
      </c>
      <c r="BA45" s="50">
        <v>0</v>
      </c>
      <c r="BB45" s="50">
        <v>0</v>
      </c>
      <c r="BC45" s="50">
        <v>0</v>
      </c>
      <c r="BD45" s="50">
        <v>0</v>
      </c>
      <c r="BE45" s="50">
        <v>0</v>
      </c>
      <c r="BF45" s="50">
        <v>0</v>
      </c>
      <c r="BG45" s="50">
        <v>0</v>
      </c>
      <c r="BH45" s="50">
        <v>0</v>
      </c>
      <c r="BI45" s="50">
        <v>0</v>
      </c>
      <c r="BJ45" s="50">
        <v>0</v>
      </c>
      <c r="BK45" s="50">
        <v>0</v>
      </c>
      <c r="BL45" s="50">
        <v>0</v>
      </c>
      <c r="BM45" s="50">
        <v>0</v>
      </c>
      <c r="BN45" s="50">
        <v>0</v>
      </c>
      <c r="BO45" s="50">
        <v>0</v>
      </c>
      <c r="BP45" s="50">
        <v>0</v>
      </c>
      <c r="BQ45" s="50">
        <v>0</v>
      </c>
      <c r="BR45" s="50">
        <v>0</v>
      </c>
      <c r="BS45" s="50">
        <v>0</v>
      </c>
      <c r="BT45" s="50">
        <v>0</v>
      </c>
      <c r="BU45" s="50">
        <v>0</v>
      </c>
      <c r="BV45" s="50">
        <v>0</v>
      </c>
      <c r="BW45" s="50">
        <v>0</v>
      </c>
      <c r="BX45" s="50">
        <v>0</v>
      </c>
      <c r="BY45" s="50">
        <v>0</v>
      </c>
      <c r="BZ45" s="50">
        <v>0</v>
      </c>
      <c r="CA45" s="50">
        <v>0</v>
      </c>
      <c r="CB45" s="50">
        <v>0</v>
      </c>
      <c r="CC45" s="50">
        <v>0</v>
      </c>
      <c r="CD45" s="50">
        <v>0</v>
      </c>
      <c r="CE45" s="50">
        <v>0</v>
      </c>
      <c r="CF45" s="50">
        <v>0</v>
      </c>
      <c r="CG45" s="50">
        <v>0</v>
      </c>
      <c r="CH45" s="50">
        <v>0</v>
      </c>
      <c r="CI45" s="50">
        <v>0</v>
      </c>
      <c r="CJ45" s="50">
        <v>0</v>
      </c>
      <c r="CK45" s="50">
        <v>0</v>
      </c>
      <c r="CL45" s="50">
        <v>0</v>
      </c>
      <c r="CM45" s="50">
        <v>0</v>
      </c>
      <c r="CN45" s="50">
        <v>0</v>
      </c>
      <c r="CO45" s="50">
        <v>0</v>
      </c>
      <c r="CP45" s="50">
        <v>0</v>
      </c>
      <c r="CQ45" s="50">
        <v>0</v>
      </c>
      <c r="CR45" s="50">
        <v>0</v>
      </c>
      <c r="CS45" s="50">
        <v>0</v>
      </c>
      <c r="CT45" s="50">
        <v>0</v>
      </c>
      <c r="CU45" s="50">
        <v>0</v>
      </c>
      <c r="CV45" s="50">
        <v>0</v>
      </c>
      <c r="CW45" s="50">
        <v>0</v>
      </c>
      <c r="CX45" s="50">
        <v>0</v>
      </c>
      <c r="CY45" s="50">
        <v>0</v>
      </c>
      <c r="CZ45" s="50">
        <v>0</v>
      </c>
      <c r="DA45" s="50">
        <v>0</v>
      </c>
      <c r="DB45" s="50">
        <v>0</v>
      </c>
      <c r="DC45" s="50">
        <v>0</v>
      </c>
      <c r="DD45" s="50">
        <v>0</v>
      </c>
      <c r="DE45" s="50">
        <v>0</v>
      </c>
      <c r="DF45" s="50">
        <v>0</v>
      </c>
      <c r="DG45" s="50">
        <v>0</v>
      </c>
      <c r="DH45" s="50">
        <v>0</v>
      </c>
      <c r="DI45" s="50">
        <v>0</v>
      </c>
      <c r="DJ45" s="50">
        <v>0</v>
      </c>
      <c r="DK45" s="50">
        <v>0</v>
      </c>
      <c r="DL45" s="50">
        <v>0</v>
      </c>
      <c r="DM45" s="50">
        <v>0</v>
      </c>
      <c r="DN45" s="50">
        <v>0</v>
      </c>
      <c r="DO45" s="50">
        <v>0</v>
      </c>
      <c r="DP45" s="50">
        <v>0</v>
      </c>
      <c r="DQ45" s="51">
        <v>0</v>
      </c>
      <c r="DR45" s="52">
        <v>0</v>
      </c>
      <c r="DS45" s="53">
        <v>0</v>
      </c>
      <c r="DT45" s="54">
        <v>0</v>
      </c>
      <c r="DU45" s="51">
        <v>0</v>
      </c>
      <c r="DV45" s="52">
        <v>0</v>
      </c>
      <c r="DW45" s="53">
        <v>0</v>
      </c>
      <c r="DX45" s="54">
        <v>0</v>
      </c>
      <c r="DY45" s="51">
        <v>0</v>
      </c>
      <c r="DZ45" s="52">
        <v>0</v>
      </c>
      <c r="EA45" s="53">
        <v>0</v>
      </c>
      <c r="EB45" s="54">
        <v>0</v>
      </c>
      <c r="EC45" s="51">
        <v>0</v>
      </c>
      <c r="ED45" s="52">
        <v>0</v>
      </c>
      <c r="EE45" s="53">
        <v>0</v>
      </c>
      <c r="EF45" s="52">
        <v>0</v>
      </c>
      <c r="EG45" s="53">
        <v>0</v>
      </c>
      <c r="EH45" s="54">
        <v>0</v>
      </c>
      <c r="EI45" s="53">
        <v>0</v>
      </c>
      <c r="EJ45" s="54">
        <v>0</v>
      </c>
      <c r="EK45" s="53">
        <v>0</v>
      </c>
      <c r="EL45" s="52">
        <v>0</v>
      </c>
      <c r="EM45" s="55">
        <v>0</v>
      </c>
      <c r="EN45" s="52">
        <v>0</v>
      </c>
      <c r="EO45" s="55">
        <v>0</v>
      </c>
      <c r="EP45" s="52">
        <v>0</v>
      </c>
      <c r="EQ45" s="55">
        <v>0</v>
      </c>
      <c r="ER45" s="52">
        <v>0</v>
      </c>
      <c r="ES45" s="55">
        <v>0</v>
      </c>
      <c r="ET45" s="52">
        <v>0</v>
      </c>
      <c r="EU45" s="55">
        <v>0</v>
      </c>
      <c r="EV45" s="52">
        <v>0</v>
      </c>
      <c r="EW45" s="55">
        <v>0</v>
      </c>
      <c r="EX45" s="52">
        <v>0</v>
      </c>
      <c r="EY45" s="55">
        <v>0</v>
      </c>
      <c r="EZ45" s="52">
        <v>0</v>
      </c>
      <c r="FA45" s="55">
        <v>0</v>
      </c>
      <c r="FB45" s="52">
        <v>0</v>
      </c>
      <c r="FC45" s="55">
        <v>0</v>
      </c>
      <c r="FD45" s="52">
        <v>0</v>
      </c>
      <c r="FE45" s="55">
        <v>0</v>
      </c>
      <c r="FF45" s="52">
        <v>0</v>
      </c>
      <c r="FG45" s="55">
        <v>0</v>
      </c>
      <c r="FH45" s="52">
        <v>0</v>
      </c>
      <c r="FI45" s="55">
        <v>0</v>
      </c>
      <c r="FJ45" s="52">
        <v>0</v>
      </c>
      <c r="FK45" s="55">
        <v>0</v>
      </c>
      <c r="FL45" s="52">
        <v>0</v>
      </c>
      <c r="FM45" s="55">
        <v>0</v>
      </c>
      <c r="FN45" s="52">
        <v>0</v>
      </c>
      <c r="FO45" s="55">
        <v>0</v>
      </c>
      <c r="FP45" s="52">
        <v>0</v>
      </c>
      <c r="FQ45" s="55">
        <v>0</v>
      </c>
      <c r="FR45" s="52">
        <v>11.87575</v>
      </c>
      <c r="FS45" s="55">
        <v>0</v>
      </c>
      <c r="FT45" s="52">
        <v>23.275749999999999</v>
      </c>
      <c r="FU45" s="55">
        <v>0</v>
      </c>
      <c r="FV45" s="52">
        <v>34.631169999999997</v>
      </c>
      <c r="FW45" s="55">
        <v>0</v>
      </c>
      <c r="FX45" s="52">
        <v>35.804189999999998</v>
      </c>
      <c r="FY45" s="55">
        <v>0</v>
      </c>
      <c r="FZ45" s="52">
        <v>120.17281</v>
      </c>
      <c r="GA45" s="55">
        <v>0</v>
      </c>
      <c r="GB45" s="52">
        <v>222.64608999999999</v>
      </c>
      <c r="GC45" s="55">
        <v>0</v>
      </c>
      <c r="GD45" s="52">
        <v>222.64608999999999</v>
      </c>
      <c r="GE45" s="55">
        <v>0</v>
      </c>
      <c r="GF45" s="52">
        <v>286.38618000000002</v>
      </c>
      <c r="GG45" s="55">
        <v>0</v>
      </c>
      <c r="GH45" s="52">
        <v>441.07884999999999</v>
      </c>
      <c r="GI45" s="55">
        <v>0</v>
      </c>
      <c r="GJ45" s="52">
        <v>621.43098999999995</v>
      </c>
      <c r="GK45" s="55">
        <v>0</v>
      </c>
      <c r="GL45" s="52">
        <v>136.58332999999999</v>
      </c>
      <c r="GM45" s="55">
        <v>0</v>
      </c>
      <c r="GN45" s="52">
        <v>147.59577999999999</v>
      </c>
      <c r="GO45" s="55">
        <v>0</v>
      </c>
      <c r="GP45" s="52">
        <v>150.21648000000002</v>
      </c>
      <c r="GQ45" s="55">
        <v>0</v>
      </c>
      <c r="GR45" s="52">
        <v>150.21647999999999</v>
      </c>
      <c r="GS45" s="55">
        <v>0</v>
      </c>
      <c r="GT45" s="52">
        <v>190.15262999999999</v>
      </c>
      <c r="GU45" s="55">
        <v>0</v>
      </c>
      <c r="GV45" s="52">
        <v>214.89585</v>
      </c>
      <c r="GW45" s="55">
        <v>0</v>
      </c>
      <c r="GX45" s="52">
        <v>409.82130000000001</v>
      </c>
      <c r="GY45" s="55">
        <v>0</v>
      </c>
      <c r="GZ45" s="52">
        <v>432.51722000000001</v>
      </c>
      <c r="HA45" s="55">
        <v>0</v>
      </c>
      <c r="HB45" s="52">
        <v>448.59052000000003</v>
      </c>
      <c r="HC45" s="55">
        <v>0</v>
      </c>
      <c r="HD45" s="52">
        <v>544.51480000000004</v>
      </c>
      <c r="HE45" s="55">
        <v>0</v>
      </c>
      <c r="HF45" s="52">
        <v>578.93430999999998</v>
      </c>
      <c r="HG45" s="55">
        <v>0</v>
      </c>
      <c r="HH45" s="52">
        <v>737.77973999999995</v>
      </c>
      <c r="HI45" s="55">
        <v>0</v>
      </c>
      <c r="HJ45" s="52">
        <v>4.5094000000000003</v>
      </c>
      <c r="HK45" s="55">
        <v>0</v>
      </c>
      <c r="HL45" s="52">
        <v>93.777019999999993</v>
      </c>
      <c r="HM45" s="55">
        <v>0</v>
      </c>
      <c r="HN45" s="52">
        <v>106.42702</v>
      </c>
      <c r="HO45" s="55">
        <v>0</v>
      </c>
      <c r="HP45" s="52">
        <v>111.69123</v>
      </c>
      <c r="HQ45" s="55">
        <v>0</v>
      </c>
      <c r="HR45" s="52">
        <v>171.49886000000001</v>
      </c>
      <c r="HS45" s="55">
        <v>0</v>
      </c>
      <c r="HT45" s="52">
        <v>375.72109999999998</v>
      </c>
      <c r="HU45" s="55">
        <v>0</v>
      </c>
      <c r="HV45" s="52">
        <v>395.54554999999999</v>
      </c>
      <c r="HW45" s="55">
        <v>31.120450000000002</v>
      </c>
      <c r="HX45" s="52">
        <v>399.78555</v>
      </c>
      <c r="HY45" s="55">
        <v>31.120450000000002</v>
      </c>
      <c r="HZ45" s="52">
        <v>401.35554999999999</v>
      </c>
      <c r="IA45" s="55">
        <v>31.120450000000002</v>
      </c>
      <c r="IB45" s="16" t="s">
        <v>124</v>
      </c>
      <c r="ID45" s="81"/>
    </row>
    <row r="46" spans="1:239" s="9" customFormat="1" ht="22.5" customHeight="1" x14ac:dyDescent="0.4">
      <c r="A46" s="14" t="s">
        <v>84</v>
      </c>
      <c r="B46" s="44">
        <v>0</v>
      </c>
      <c r="C46" s="44">
        <v>0</v>
      </c>
      <c r="D46" s="44">
        <v>0</v>
      </c>
      <c r="E46" s="44">
        <v>2.5764999999999998</v>
      </c>
      <c r="F46" s="44">
        <v>0</v>
      </c>
      <c r="G46" s="44">
        <v>4.1336400000000006</v>
      </c>
      <c r="H46" s="44">
        <v>0</v>
      </c>
      <c r="I46" s="44">
        <v>4.1336400000000006</v>
      </c>
      <c r="J46" s="44">
        <v>0</v>
      </c>
      <c r="K46" s="44">
        <v>4.1336400000000006</v>
      </c>
      <c r="L46" s="44">
        <v>0</v>
      </c>
      <c r="M46" s="44">
        <v>4.1336400000000006</v>
      </c>
      <c r="N46" s="44">
        <v>0</v>
      </c>
      <c r="O46" s="44">
        <v>4.1336400000000006</v>
      </c>
      <c r="P46" s="44">
        <v>0</v>
      </c>
      <c r="Q46" s="44">
        <v>4.1336400000000006</v>
      </c>
      <c r="R46" s="44">
        <v>0</v>
      </c>
      <c r="S46" s="44">
        <v>4.1336400000000006</v>
      </c>
      <c r="T46" s="44">
        <v>0</v>
      </c>
      <c r="U46" s="44">
        <v>0</v>
      </c>
      <c r="V46" s="44">
        <v>0.02</v>
      </c>
      <c r="W46" s="44">
        <v>0</v>
      </c>
      <c r="X46" s="44">
        <v>0.09</v>
      </c>
      <c r="Y46" s="44">
        <v>0</v>
      </c>
      <c r="Z46" s="44">
        <v>0.61</v>
      </c>
      <c r="AA46" s="44">
        <v>0</v>
      </c>
      <c r="AB46" s="44">
        <v>1.32</v>
      </c>
      <c r="AC46" s="44">
        <v>0</v>
      </c>
      <c r="AD46" s="44">
        <v>1.76</v>
      </c>
      <c r="AE46" s="44">
        <v>0</v>
      </c>
      <c r="AF46" s="44">
        <v>9.57</v>
      </c>
      <c r="AG46" s="44">
        <v>0</v>
      </c>
      <c r="AH46" s="44">
        <v>19.940000000000001</v>
      </c>
      <c r="AI46" s="44">
        <v>0</v>
      </c>
      <c r="AJ46" s="44">
        <v>25.96</v>
      </c>
      <c r="AK46" s="44">
        <v>0</v>
      </c>
      <c r="AL46" s="44">
        <v>30.2</v>
      </c>
      <c r="AM46" s="44">
        <v>0</v>
      </c>
      <c r="AN46" s="44">
        <v>37.659999999999997</v>
      </c>
      <c r="AO46" s="44">
        <v>0</v>
      </c>
      <c r="AP46" s="44">
        <v>42.19</v>
      </c>
      <c r="AQ46" s="44">
        <v>0</v>
      </c>
      <c r="AR46" s="44">
        <v>47.45</v>
      </c>
      <c r="AS46" s="44">
        <v>0</v>
      </c>
      <c r="AT46" s="44">
        <v>89.428049999999999</v>
      </c>
      <c r="AU46" s="44">
        <v>0</v>
      </c>
      <c r="AV46" s="44">
        <v>1860.06747</v>
      </c>
      <c r="AW46" s="44">
        <v>0</v>
      </c>
      <c r="AX46" s="44">
        <v>8.36</v>
      </c>
      <c r="AY46" s="44">
        <v>0</v>
      </c>
      <c r="AZ46" s="44">
        <v>14.34</v>
      </c>
      <c r="BA46" s="44">
        <v>0</v>
      </c>
      <c r="BB46" s="44">
        <v>16.93</v>
      </c>
      <c r="BC46" s="44">
        <v>0</v>
      </c>
      <c r="BD46" s="44">
        <v>26.358000000000001</v>
      </c>
      <c r="BE46" s="44">
        <v>0</v>
      </c>
      <c r="BF46" s="44">
        <v>44.607999999999997</v>
      </c>
      <c r="BG46" s="44">
        <v>0</v>
      </c>
      <c r="BH46" s="44">
        <v>57.08</v>
      </c>
      <c r="BI46" s="44">
        <v>0</v>
      </c>
      <c r="BJ46" s="44">
        <v>78.224999999999994</v>
      </c>
      <c r="BK46" s="44">
        <v>0</v>
      </c>
      <c r="BL46" s="44">
        <v>96.447999999999993</v>
      </c>
      <c r="BM46" s="44">
        <v>0</v>
      </c>
      <c r="BN46" s="44">
        <v>109.42</v>
      </c>
      <c r="BO46" s="44">
        <v>0</v>
      </c>
      <c r="BP46" s="44">
        <v>112.617</v>
      </c>
      <c r="BQ46" s="44">
        <v>0</v>
      </c>
      <c r="BR46" s="44">
        <v>113.565</v>
      </c>
      <c r="BS46" s="44">
        <v>0</v>
      </c>
      <c r="BT46" s="44">
        <v>157.70371</v>
      </c>
      <c r="BU46" s="44">
        <v>0</v>
      </c>
      <c r="BV46" s="44">
        <v>3.91</v>
      </c>
      <c r="BW46" s="44">
        <v>0</v>
      </c>
      <c r="BX46" s="44">
        <v>6.6829999999999998</v>
      </c>
      <c r="BY46" s="44">
        <v>0</v>
      </c>
      <c r="BZ46" s="44">
        <v>11.037799999999999</v>
      </c>
      <c r="CA46" s="44">
        <v>0</v>
      </c>
      <c r="CB46" s="44">
        <v>11.652799999999999</v>
      </c>
      <c r="CC46" s="44">
        <v>0</v>
      </c>
      <c r="CD46" s="44">
        <v>13.83991</v>
      </c>
      <c r="CE46" s="44">
        <v>0</v>
      </c>
      <c r="CF46" s="44">
        <v>14.565910000000001</v>
      </c>
      <c r="CG46" s="44">
        <v>0</v>
      </c>
      <c r="CH46" s="44">
        <v>15.936909999999999</v>
      </c>
      <c r="CI46" s="44">
        <v>0</v>
      </c>
      <c r="CJ46" s="44">
        <v>21.520880000000002</v>
      </c>
      <c r="CK46" s="44">
        <v>0</v>
      </c>
      <c r="CL46" s="44">
        <v>35.746949999999998</v>
      </c>
      <c r="CM46" s="44">
        <v>0</v>
      </c>
      <c r="CN46" s="44">
        <v>50.802260000000004</v>
      </c>
      <c r="CO46" s="44">
        <v>0</v>
      </c>
      <c r="CP46" s="44">
        <v>67.38794</v>
      </c>
      <c r="CQ46" s="44">
        <v>0</v>
      </c>
      <c r="CR46" s="44">
        <v>91.584800000000001</v>
      </c>
      <c r="CS46" s="44">
        <v>0</v>
      </c>
      <c r="CT46" s="44">
        <v>10.222</v>
      </c>
      <c r="CU46" s="44">
        <v>0</v>
      </c>
      <c r="CV46" s="44">
        <v>28.514099999999999</v>
      </c>
      <c r="CW46" s="44">
        <v>0</v>
      </c>
      <c r="CX46" s="44">
        <v>45.558639999999997</v>
      </c>
      <c r="CY46" s="44">
        <v>0</v>
      </c>
      <c r="CZ46" s="44">
        <v>53.771519999999995</v>
      </c>
      <c r="DA46" s="44">
        <v>0</v>
      </c>
      <c r="DB46" s="44">
        <v>78.640339999999995</v>
      </c>
      <c r="DC46" s="44">
        <v>0</v>
      </c>
      <c r="DD46" s="44">
        <v>103.90758</v>
      </c>
      <c r="DE46" s="44">
        <v>0</v>
      </c>
      <c r="DF46" s="44">
        <v>120.60539</v>
      </c>
      <c r="DG46" s="44">
        <v>0</v>
      </c>
      <c r="DH46" s="44">
        <v>122.87039</v>
      </c>
      <c r="DI46" s="44">
        <v>0</v>
      </c>
      <c r="DJ46" s="44">
        <v>164.73917</v>
      </c>
      <c r="DK46" s="44">
        <v>0</v>
      </c>
      <c r="DL46" s="44">
        <v>206.00370000000001</v>
      </c>
      <c r="DM46" s="44">
        <v>0</v>
      </c>
      <c r="DN46" s="44">
        <v>271.91079000000002</v>
      </c>
      <c r="DO46" s="44">
        <v>0</v>
      </c>
      <c r="DP46" s="44">
        <v>3378.1590099999999</v>
      </c>
      <c r="DQ46" s="45">
        <v>0</v>
      </c>
      <c r="DR46" s="46">
        <v>81.692610000000002</v>
      </c>
      <c r="DS46" s="47">
        <v>0</v>
      </c>
      <c r="DT46" s="48">
        <v>154.49202</v>
      </c>
      <c r="DU46" s="45">
        <v>0</v>
      </c>
      <c r="DV46" s="46">
        <v>197.72301999999999</v>
      </c>
      <c r="DW46" s="47">
        <v>0</v>
      </c>
      <c r="DX46" s="48">
        <v>200.27249</v>
      </c>
      <c r="DY46" s="45">
        <v>0</v>
      </c>
      <c r="DZ46" s="46">
        <v>202.19614999999999</v>
      </c>
      <c r="EA46" s="47">
        <v>0</v>
      </c>
      <c r="EB46" s="48">
        <v>466.82736999999997</v>
      </c>
      <c r="EC46" s="45">
        <v>0</v>
      </c>
      <c r="ED46" s="46">
        <v>467.88029</v>
      </c>
      <c r="EE46" s="47">
        <v>0</v>
      </c>
      <c r="EF46" s="46">
        <v>795.74928999999997</v>
      </c>
      <c r="EG46" s="47">
        <v>0</v>
      </c>
      <c r="EH46" s="48">
        <v>1150.2914499999999</v>
      </c>
      <c r="EI46" s="47">
        <v>0</v>
      </c>
      <c r="EJ46" s="48">
        <v>1152.7724499999999</v>
      </c>
      <c r="EK46" s="47">
        <v>0.12427000000000001</v>
      </c>
      <c r="EL46" s="46">
        <v>1531.8914500000001</v>
      </c>
      <c r="EM46" s="49">
        <v>0.17721000000000001</v>
      </c>
      <c r="EN46" s="46">
        <v>1899.9356299999999</v>
      </c>
      <c r="EO46" s="49">
        <v>0.17721000000000001</v>
      </c>
      <c r="EP46" s="46">
        <v>110.255</v>
      </c>
      <c r="EQ46" s="49">
        <v>0</v>
      </c>
      <c r="ER46" s="46">
        <v>453.69711999999998</v>
      </c>
      <c r="ES46" s="49">
        <v>2.6600000000000002E-2</v>
      </c>
      <c r="ET46" s="46">
        <v>665.30424000000005</v>
      </c>
      <c r="EU46" s="49">
        <v>2.6599999999999999E-2</v>
      </c>
      <c r="EV46" s="46">
        <v>890.48851000000002</v>
      </c>
      <c r="EW46" s="49">
        <v>0.47660000000000002</v>
      </c>
      <c r="EX46" s="46">
        <v>892.14639999999997</v>
      </c>
      <c r="EY46" s="49">
        <v>0.47660000000000002</v>
      </c>
      <c r="EZ46" s="46">
        <v>1248.4578700000002</v>
      </c>
      <c r="FA46" s="49">
        <v>0.47660000000000002</v>
      </c>
      <c r="FB46" s="46">
        <v>1249.6698700000002</v>
      </c>
      <c r="FC46" s="49">
        <v>0.47660000000000002</v>
      </c>
      <c r="FD46" s="46">
        <v>2145.9618799999998</v>
      </c>
      <c r="FE46" s="49">
        <v>0.89659999999999995</v>
      </c>
      <c r="FF46" s="46">
        <v>2405.4802</v>
      </c>
      <c r="FG46" s="49">
        <v>0.89660000000000006</v>
      </c>
      <c r="FH46" s="46">
        <v>2665.7259399999998</v>
      </c>
      <c r="FI46" s="49">
        <v>2.6722199999999998</v>
      </c>
      <c r="FJ46" s="46">
        <v>3401.4607700000001</v>
      </c>
      <c r="FK46" s="49">
        <v>3.0662400000000001</v>
      </c>
      <c r="FL46" s="46">
        <v>3829.94994</v>
      </c>
      <c r="FM46" s="49">
        <v>4.8673700000000002</v>
      </c>
      <c r="FN46" s="46">
        <v>452.73106999999999</v>
      </c>
      <c r="FO46" s="49">
        <v>2.7864599999999999</v>
      </c>
      <c r="FP46" s="46">
        <v>821.10320999999999</v>
      </c>
      <c r="FQ46" s="49">
        <v>14.48959</v>
      </c>
      <c r="FR46" s="46">
        <v>1164.2033699999999</v>
      </c>
      <c r="FS46" s="49">
        <v>20.30612</v>
      </c>
      <c r="FT46" s="46">
        <v>1489.8215700000001</v>
      </c>
      <c r="FU46" s="49">
        <v>28.129470000000001</v>
      </c>
      <c r="FV46" s="46">
        <v>1880.8351599999999</v>
      </c>
      <c r="FW46" s="49">
        <v>34.691600000000001</v>
      </c>
      <c r="FX46" s="46">
        <v>2275.1521200000002</v>
      </c>
      <c r="FY46" s="49">
        <v>37.534599999999998</v>
      </c>
      <c r="FZ46" s="46">
        <v>2657.7371600000001</v>
      </c>
      <c r="GA46" s="49">
        <v>42.5246</v>
      </c>
      <c r="GB46" s="46">
        <v>3115.8519799999999</v>
      </c>
      <c r="GC46" s="49">
        <v>55.055599999999998</v>
      </c>
      <c r="GD46" s="46">
        <v>3779.2859199999998</v>
      </c>
      <c r="GE46" s="49">
        <v>57.505600000000001</v>
      </c>
      <c r="GF46" s="46">
        <v>4314.3006100000002</v>
      </c>
      <c r="GG46" s="49">
        <v>63.793500000000002</v>
      </c>
      <c r="GH46" s="46">
        <v>4798.9348600000003</v>
      </c>
      <c r="GI46" s="49">
        <v>69.393500000000003</v>
      </c>
      <c r="GJ46" s="46">
        <v>5259.0473199999997</v>
      </c>
      <c r="GK46" s="49">
        <v>75.597179999999994</v>
      </c>
      <c r="GL46" s="46">
        <v>495.08978000000002</v>
      </c>
      <c r="GM46" s="49">
        <v>5.1078700000000001</v>
      </c>
      <c r="GN46" s="46">
        <v>1097.6403299999999</v>
      </c>
      <c r="GO46" s="49">
        <v>14.46152</v>
      </c>
      <c r="GP46" s="46">
        <v>1372.2237700000001</v>
      </c>
      <c r="GQ46" s="49">
        <v>22.047450000000001</v>
      </c>
      <c r="GR46" s="46">
        <v>1372.2239300000001</v>
      </c>
      <c r="GS46" s="49">
        <v>29.336829999999999</v>
      </c>
      <c r="GT46" s="46">
        <v>1381.1827699999999</v>
      </c>
      <c r="GU46" s="49">
        <v>33.96857</v>
      </c>
      <c r="GV46" s="46">
        <v>2517.5837499999998</v>
      </c>
      <c r="GW46" s="49">
        <v>37.091659999999997</v>
      </c>
      <c r="GX46" s="46">
        <v>2518.9965999999999</v>
      </c>
      <c r="GY46" s="49">
        <v>41.04166</v>
      </c>
      <c r="GZ46" s="46">
        <v>2877.54468</v>
      </c>
      <c r="HA46" s="49">
        <v>47.241660000000003</v>
      </c>
      <c r="HB46" s="46">
        <v>4019.2657100000001</v>
      </c>
      <c r="HC46" s="49">
        <v>49.641660000000002</v>
      </c>
      <c r="HD46" s="46">
        <v>4052.2657899999999</v>
      </c>
      <c r="HE46" s="49">
        <v>53.341659999999997</v>
      </c>
      <c r="HF46" s="46">
        <v>4780.7608799999998</v>
      </c>
      <c r="HG46" s="49">
        <v>56.83446</v>
      </c>
      <c r="HH46" s="46">
        <v>5680.9579999999996</v>
      </c>
      <c r="HI46" s="49">
        <v>60.321579999999997</v>
      </c>
      <c r="HJ46" s="46">
        <v>311.4171</v>
      </c>
      <c r="HK46" s="49">
        <v>3.86748</v>
      </c>
      <c r="HL46" s="46">
        <v>1025.5151900000001</v>
      </c>
      <c r="HM46" s="49">
        <v>8.9538100000000007</v>
      </c>
      <c r="HN46" s="46">
        <v>1392.45695</v>
      </c>
      <c r="HO46" s="49">
        <v>10.38744</v>
      </c>
      <c r="HP46" s="46">
        <v>1752.4569899999999</v>
      </c>
      <c r="HQ46" s="49">
        <v>16.35772</v>
      </c>
      <c r="HR46" s="46">
        <v>2080.10286</v>
      </c>
      <c r="HS46" s="49">
        <v>18.889309999999998</v>
      </c>
      <c r="HT46" s="46">
        <v>2426.3406100000002</v>
      </c>
      <c r="HU46" s="49">
        <v>23.757180000000002</v>
      </c>
      <c r="HV46" s="46">
        <v>2778.7487299999998</v>
      </c>
      <c r="HW46" s="49">
        <v>29.351289999999999</v>
      </c>
      <c r="HX46" s="46">
        <v>3189.5870100000002</v>
      </c>
      <c r="HY46" s="49">
        <v>33.605539999999998</v>
      </c>
      <c r="HZ46" s="46">
        <v>4023.5048000000002</v>
      </c>
      <c r="IA46" s="49">
        <v>38.59939</v>
      </c>
      <c r="IB46" s="14" t="s">
        <v>85</v>
      </c>
    </row>
    <row r="47" spans="1:239" s="9" customFormat="1" ht="22.5" customHeight="1" x14ac:dyDescent="0.4">
      <c r="A47" s="15" t="s">
        <v>86</v>
      </c>
      <c r="B47" s="50">
        <v>0</v>
      </c>
      <c r="C47" s="50">
        <v>0</v>
      </c>
      <c r="D47" s="50">
        <v>0</v>
      </c>
      <c r="E47" s="50">
        <v>2.5764999999999998</v>
      </c>
      <c r="F47" s="50">
        <v>0</v>
      </c>
      <c r="G47" s="50">
        <v>4.1336400000000006</v>
      </c>
      <c r="H47" s="50">
        <v>0</v>
      </c>
      <c r="I47" s="50">
        <v>4.1336400000000006</v>
      </c>
      <c r="J47" s="50">
        <v>0</v>
      </c>
      <c r="K47" s="50">
        <v>4.1336400000000006</v>
      </c>
      <c r="L47" s="50">
        <v>0</v>
      </c>
      <c r="M47" s="50">
        <v>4.1336400000000006</v>
      </c>
      <c r="N47" s="50">
        <v>0</v>
      </c>
      <c r="O47" s="50">
        <v>4.1336400000000006</v>
      </c>
      <c r="P47" s="50">
        <v>0</v>
      </c>
      <c r="Q47" s="50">
        <v>4.1336400000000006</v>
      </c>
      <c r="R47" s="50">
        <v>0</v>
      </c>
      <c r="S47" s="50">
        <v>4.1336400000000006</v>
      </c>
      <c r="T47" s="50">
        <v>0</v>
      </c>
      <c r="U47" s="50">
        <v>0</v>
      </c>
      <c r="V47" s="50">
        <v>0.02</v>
      </c>
      <c r="W47" s="50">
        <v>0</v>
      </c>
      <c r="X47" s="50">
        <v>0.09</v>
      </c>
      <c r="Y47" s="50">
        <v>0</v>
      </c>
      <c r="Z47" s="50">
        <v>0.61</v>
      </c>
      <c r="AA47" s="50">
        <v>0</v>
      </c>
      <c r="AB47" s="50">
        <v>1.32</v>
      </c>
      <c r="AC47" s="50">
        <v>0</v>
      </c>
      <c r="AD47" s="50">
        <v>1.76</v>
      </c>
      <c r="AE47" s="50">
        <v>0</v>
      </c>
      <c r="AF47" s="50">
        <v>9.57</v>
      </c>
      <c r="AG47" s="50">
        <v>0</v>
      </c>
      <c r="AH47" s="50">
        <v>19.940000000000001</v>
      </c>
      <c r="AI47" s="50">
        <v>0</v>
      </c>
      <c r="AJ47" s="50">
        <v>25.96</v>
      </c>
      <c r="AK47" s="50">
        <v>0</v>
      </c>
      <c r="AL47" s="50">
        <v>30.2</v>
      </c>
      <c r="AM47" s="50">
        <v>0</v>
      </c>
      <c r="AN47" s="50">
        <v>37.659999999999997</v>
      </c>
      <c r="AO47" s="50">
        <v>0</v>
      </c>
      <c r="AP47" s="50">
        <v>42.19</v>
      </c>
      <c r="AQ47" s="50">
        <v>0</v>
      </c>
      <c r="AR47" s="50">
        <v>47.45</v>
      </c>
      <c r="AS47" s="50">
        <v>0</v>
      </c>
      <c r="AT47" s="50">
        <v>89.428049999999999</v>
      </c>
      <c r="AU47" s="50">
        <v>0</v>
      </c>
      <c r="AV47" s="50">
        <v>1860.06747</v>
      </c>
      <c r="AW47" s="50">
        <v>0</v>
      </c>
      <c r="AX47" s="50">
        <v>8.36</v>
      </c>
      <c r="AY47" s="50">
        <v>0</v>
      </c>
      <c r="AZ47" s="50">
        <v>14.34</v>
      </c>
      <c r="BA47" s="50">
        <v>0</v>
      </c>
      <c r="BB47" s="50">
        <v>16.93</v>
      </c>
      <c r="BC47" s="50">
        <v>0</v>
      </c>
      <c r="BD47" s="50">
        <v>26.358000000000001</v>
      </c>
      <c r="BE47" s="50">
        <v>0</v>
      </c>
      <c r="BF47" s="50">
        <v>44.607999999999997</v>
      </c>
      <c r="BG47" s="50">
        <v>0</v>
      </c>
      <c r="BH47" s="50">
        <v>57.08</v>
      </c>
      <c r="BI47" s="50">
        <v>0</v>
      </c>
      <c r="BJ47" s="50">
        <v>78.224999999999994</v>
      </c>
      <c r="BK47" s="50">
        <v>0</v>
      </c>
      <c r="BL47" s="50">
        <v>96.447999999999993</v>
      </c>
      <c r="BM47" s="50">
        <v>0</v>
      </c>
      <c r="BN47" s="50">
        <v>109.42</v>
      </c>
      <c r="BO47" s="50">
        <v>0</v>
      </c>
      <c r="BP47" s="50">
        <v>112.617</v>
      </c>
      <c r="BQ47" s="50">
        <v>0</v>
      </c>
      <c r="BR47" s="50">
        <v>113.565</v>
      </c>
      <c r="BS47" s="50">
        <v>0</v>
      </c>
      <c r="BT47" s="50">
        <v>157.70371</v>
      </c>
      <c r="BU47" s="50">
        <v>0</v>
      </c>
      <c r="BV47" s="50">
        <v>3.91</v>
      </c>
      <c r="BW47" s="50">
        <v>0</v>
      </c>
      <c r="BX47" s="50">
        <v>6.6829999999999998</v>
      </c>
      <c r="BY47" s="50">
        <v>0</v>
      </c>
      <c r="BZ47" s="50">
        <v>11.037799999999999</v>
      </c>
      <c r="CA47" s="50">
        <v>0</v>
      </c>
      <c r="CB47" s="50">
        <v>11.652799999999999</v>
      </c>
      <c r="CC47" s="50">
        <v>0</v>
      </c>
      <c r="CD47" s="50">
        <v>13.83991</v>
      </c>
      <c r="CE47" s="50">
        <v>0</v>
      </c>
      <c r="CF47" s="50">
        <v>14.565910000000001</v>
      </c>
      <c r="CG47" s="50">
        <v>0</v>
      </c>
      <c r="CH47" s="50">
        <v>15.936909999999999</v>
      </c>
      <c r="CI47" s="50">
        <v>0</v>
      </c>
      <c r="CJ47" s="50">
        <v>21.520880000000002</v>
      </c>
      <c r="CK47" s="50">
        <v>0</v>
      </c>
      <c r="CL47" s="50">
        <v>35.746949999999998</v>
      </c>
      <c r="CM47" s="50">
        <v>0</v>
      </c>
      <c r="CN47" s="50">
        <v>50.802260000000004</v>
      </c>
      <c r="CO47" s="50">
        <v>0</v>
      </c>
      <c r="CP47" s="50">
        <v>67.38794</v>
      </c>
      <c r="CQ47" s="50">
        <v>0</v>
      </c>
      <c r="CR47" s="50">
        <v>91.584800000000001</v>
      </c>
      <c r="CS47" s="50">
        <v>0</v>
      </c>
      <c r="CT47" s="50">
        <v>10.222</v>
      </c>
      <c r="CU47" s="50">
        <v>0</v>
      </c>
      <c r="CV47" s="50">
        <v>28.514099999999999</v>
      </c>
      <c r="CW47" s="50">
        <v>0</v>
      </c>
      <c r="CX47" s="50">
        <v>45.558639999999997</v>
      </c>
      <c r="CY47" s="50">
        <v>0</v>
      </c>
      <c r="CZ47" s="50">
        <v>53.771519999999995</v>
      </c>
      <c r="DA47" s="50">
        <v>0</v>
      </c>
      <c r="DB47" s="50">
        <v>78.640339999999995</v>
      </c>
      <c r="DC47" s="50">
        <v>0</v>
      </c>
      <c r="DD47" s="50">
        <v>103.90758</v>
      </c>
      <c r="DE47" s="50">
        <v>0</v>
      </c>
      <c r="DF47" s="50">
        <v>120.60539</v>
      </c>
      <c r="DG47" s="50">
        <v>0</v>
      </c>
      <c r="DH47" s="50">
        <v>122.87039</v>
      </c>
      <c r="DI47" s="50">
        <v>0</v>
      </c>
      <c r="DJ47" s="50">
        <v>164.73917</v>
      </c>
      <c r="DK47" s="50">
        <v>0</v>
      </c>
      <c r="DL47" s="50">
        <v>206.00370000000001</v>
      </c>
      <c r="DM47" s="50">
        <v>0</v>
      </c>
      <c r="DN47" s="50">
        <v>271.91079000000002</v>
      </c>
      <c r="DO47" s="50">
        <v>0</v>
      </c>
      <c r="DP47" s="50">
        <v>3378.1590099999999</v>
      </c>
      <c r="DQ47" s="51">
        <v>0</v>
      </c>
      <c r="DR47" s="52">
        <v>81.692610000000002</v>
      </c>
      <c r="DS47" s="53">
        <v>0</v>
      </c>
      <c r="DT47" s="54">
        <v>154.49202</v>
      </c>
      <c r="DU47" s="51">
        <v>0</v>
      </c>
      <c r="DV47" s="52">
        <v>197.72301999999999</v>
      </c>
      <c r="DW47" s="53">
        <v>0</v>
      </c>
      <c r="DX47" s="54">
        <v>200.27249</v>
      </c>
      <c r="DY47" s="51">
        <v>0</v>
      </c>
      <c r="DZ47" s="52">
        <v>202.19614999999999</v>
      </c>
      <c r="EA47" s="53">
        <v>0</v>
      </c>
      <c r="EB47" s="54">
        <v>466.82736999999997</v>
      </c>
      <c r="EC47" s="51">
        <v>0</v>
      </c>
      <c r="ED47" s="52">
        <v>467.88029</v>
      </c>
      <c r="EE47" s="53">
        <v>0</v>
      </c>
      <c r="EF47" s="52">
        <v>795.74928999999997</v>
      </c>
      <c r="EG47" s="53">
        <v>0</v>
      </c>
      <c r="EH47" s="54">
        <v>1150.2914499999999</v>
      </c>
      <c r="EI47" s="53">
        <v>0</v>
      </c>
      <c r="EJ47" s="54">
        <v>1152.7724499999999</v>
      </c>
      <c r="EK47" s="53">
        <v>0.12427000000000001</v>
      </c>
      <c r="EL47" s="52">
        <v>1531.8914500000001</v>
      </c>
      <c r="EM47" s="55">
        <v>0.17721000000000001</v>
      </c>
      <c r="EN47" s="52">
        <v>1899.9356299999999</v>
      </c>
      <c r="EO47" s="55">
        <v>0.17721000000000001</v>
      </c>
      <c r="EP47" s="52">
        <v>110.255</v>
      </c>
      <c r="EQ47" s="55">
        <v>0</v>
      </c>
      <c r="ER47" s="52">
        <v>453.69711999999998</v>
      </c>
      <c r="ES47" s="55">
        <v>2.6600000000000002E-2</v>
      </c>
      <c r="ET47" s="52">
        <v>665.30424000000005</v>
      </c>
      <c r="EU47" s="55">
        <v>2.6599999999999999E-2</v>
      </c>
      <c r="EV47" s="52">
        <v>890.48851000000002</v>
      </c>
      <c r="EW47" s="55">
        <v>0.47660000000000002</v>
      </c>
      <c r="EX47" s="52">
        <v>892.14639999999997</v>
      </c>
      <c r="EY47" s="55">
        <v>0.47660000000000002</v>
      </c>
      <c r="EZ47" s="52">
        <v>1248.4578700000002</v>
      </c>
      <c r="FA47" s="55">
        <v>0.47660000000000002</v>
      </c>
      <c r="FB47" s="52">
        <v>1249.6698700000002</v>
      </c>
      <c r="FC47" s="55">
        <v>0.47660000000000002</v>
      </c>
      <c r="FD47" s="52">
        <v>2145.9618799999998</v>
      </c>
      <c r="FE47" s="55">
        <v>0.89659999999999995</v>
      </c>
      <c r="FF47" s="52">
        <v>2405.4802</v>
      </c>
      <c r="FG47" s="55">
        <v>0.89660000000000006</v>
      </c>
      <c r="FH47" s="52">
        <v>2665.7259399999998</v>
      </c>
      <c r="FI47" s="55">
        <v>2.6722199999999998</v>
      </c>
      <c r="FJ47" s="52">
        <v>3401.4607700000001</v>
      </c>
      <c r="FK47" s="55">
        <v>3.0662400000000001</v>
      </c>
      <c r="FL47" s="52">
        <v>3829.94994</v>
      </c>
      <c r="FM47" s="55">
        <v>4.8673700000000002</v>
      </c>
      <c r="FN47" s="52">
        <v>452.73106999999999</v>
      </c>
      <c r="FO47" s="55">
        <v>2.7864599999999999</v>
      </c>
      <c r="FP47" s="52">
        <v>821.10320999999999</v>
      </c>
      <c r="FQ47" s="55">
        <v>14.48959</v>
      </c>
      <c r="FR47" s="52">
        <v>1164.2033699999999</v>
      </c>
      <c r="FS47" s="55">
        <v>20.30612</v>
      </c>
      <c r="FT47" s="52">
        <v>1489.8215700000001</v>
      </c>
      <c r="FU47" s="55">
        <v>28.129470000000001</v>
      </c>
      <c r="FV47" s="52">
        <v>1880.8351599999999</v>
      </c>
      <c r="FW47" s="55">
        <v>34.691600000000001</v>
      </c>
      <c r="FX47" s="52">
        <v>2275.1521200000002</v>
      </c>
      <c r="FY47" s="55">
        <v>37.534599999999998</v>
      </c>
      <c r="FZ47" s="52">
        <v>2657.7371600000001</v>
      </c>
      <c r="GA47" s="55">
        <v>42.5246</v>
      </c>
      <c r="GB47" s="52">
        <v>3115.8519799999999</v>
      </c>
      <c r="GC47" s="55">
        <v>55.055599999999998</v>
      </c>
      <c r="GD47" s="52">
        <v>3779.2859199999998</v>
      </c>
      <c r="GE47" s="55">
        <v>57.505600000000001</v>
      </c>
      <c r="GF47" s="52">
        <v>4314.3006100000002</v>
      </c>
      <c r="GG47" s="55">
        <v>63.793500000000002</v>
      </c>
      <c r="GH47" s="52">
        <v>4798.9348600000003</v>
      </c>
      <c r="GI47" s="55">
        <v>69.393500000000003</v>
      </c>
      <c r="GJ47" s="52">
        <v>5259.0473199999997</v>
      </c>
      <c r="GK47" s="55">
        <v>75.597179999999994</v>
      </c>
      <c r="GL47" s="52">
        <v>495.08978000000002</v>
      </c>
      <c r="GM47" s="55">
        <v>5.1078700000000001</v>
      </c>
      <c r="GN47" s="52">
        <v>1097.6403299999999</v>
      </c>
      <c r="GO47" s="55">
        <v>14.46152</v>
      </c>
      <c r="GP47" s="52">
        <v>1372.2237700000001</v>
      </c>
      <c r="GQ47" s="55">
        <v>22.047450000000001</v>
      </c>
      <c r="GR47" s="52">
        <v>1372.2239300000001</v>
      </c>
      <c r="GS47" s="55">
        <v>29.336829999999999</v>
      </c>
      <c r="GT47" s="52">
        <v>1381.1827699999999</v>
      </c>
      <c r="GU47" s="55">
        <v>33.96857</v>
      </c>
      <c r="GV47" s="52">
        <v>2517.5837499999998</v>
      </c>
      <c r="GW47" s="55">
        <v>37.091659999999997</v>
      </c>
      <c r="GX47" s="52">
        <v>2518.9965999999999</v>
      </c>
      <c r="GY47" s="55">
        <v>41.04166</v>
      </c>
      <c r="GZ47" s="52">
        <v>2877.54468</v>
      </c>
      <c r="HA47" s="55">
        <v>47.241660000000003</v>
      </c>
      <c r="HB47" s="52">
        <v>4019.2657100000001</v>
      </c>
      <c r="HC47" s="55">
        <v>49.641660000000002</v>
      </c>
      <c r="HD47" s="52">
        <v>4052.2657899999999</v>
      </c>
      <c r="HE47" s="55">
        <v>53.341659999999997</v>
      </c>
      <c r="HF47" s="52">
        <v>4780.7608799999998</v>
      </c>
      <c r="HG47" s="55">
        <v>56.83446</v>
      </c>
      <c r="HH47" s="52">
        <v>5680.9579999999996</v>
      </c>
      <c r="HI47" s="55">
        <v>60.321579999999997</v>
      </c>
      <c r="HJ47" s="52">
        <v>311.4171</v>
      </c>
      <c r="HK47" s="55">
        <v>3.86748</v>
      </c>
      <c r="HL47" s="52">
        <v>1025.5151900000001</v>
      </c>
      <c r="HM47" s="55">
        <v>8.9538100000000007</v>
      </c>
      <c r="HN47" s="52">
        <v>1392.45695</v>
      </c>
      <c r="HO47" s="55">
        <v>10.38744</v>
      </c>
      <c r="HP47" s="52">
        <v>1752.4569899999999</v>
      </c>
      <c r="HQ47" s="55">
        <v>16.35772</v>
      </c>
      <c r="HR47" s="52">
        <v>2080.10286</v>
      </c>
      <c r="HS47" s="55">
        <v>18.889309999999998</v>
      </c>
      <c r="HT47" s="52">
        <v>2426.3406100000002</v>
      </c>
      <c r="HU47" s="55">
        <v>23.757180000000002</v>
      </c>
      <c r="HV47" s="52">
        <v>2778.7487299999998</v>
      </c>
      <c r="HW47" s="55">
        <v>29.351289999999999</v>
      </c>
      <c r="HX47" s="52">
        <v>3189.5870100000002</v>
      </c>
      <c r="HY47" s="55">
        <v>33.605539999999998</v>
      </c>
      <c r="HZ47" s="52">
        <v>4023.5048000000002</v>
      </c>
      <c r="IA47" s="55">
        <v>38.59939</v>
      </c>
      <c r="IB47" s="16" t="s">
        <v>87</v>
      </c>
    </row>
    <row r="48" spans="1:239" s="9" customFormat="1" ht="22.5" customHeight="1" x14ac:dyDescent="0.4">
      <c r="A48" s="14" t="s">
        <v>88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9.2696000000000005</v>
      </c>
      <c r="M48" s="44">
        <v>0</v>
      </c>
      <c r="N48" s="44">
        <v>9.2696000000000005</v>
      </c>
      <c r="O48" s="44">
        <v>0</v>
      </c>
      <c r="P48" s="44">
        <v>9.2696000000000005</v>
      </c>
      <c r="Q48" s="44">
        <v>0</v>
      </c>
      <c r="R48" s="44">
        <v>9.2696000000000005</v>
      </c>
      <c r="S48" s="44">
        <v>0</v>
      </c>
      <c r="T48" s="44">
        <v>9.2696000000000005</v>
      </c>
      <c r="U48" s="44">
        <v>0</v>
      </c>
      <c r="V48" s="44">
        <v>9.2696000000000005</v>
      </c>
      <c r="W48" s="44">
        <v>0</v>
      </c>
      <c r="X48" s="44">
        <v>9.2696000000000005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0.56496000000000002</v>
      </c>
      <c r="AG48" s="44">
        <v>0</v>
      </c>
      <c r="AH48" s="44">
        <v>0.56496000000000002</v>
      </c>
      <c r="AI48" s="44">
        <v>0</v>
      </c>
      <c r="AJ48" s="44">
        <v>0.56496000000000002</v>
      </c>
      <c r="AK48" s="44">
        <v>0</v>
      </c>
      <c r="AL48" s="44">
        <v>0.56496000000000002</v>
      </c>
      <c r="AM48" s="44">
        <v>0</v>
      </c>
      <c r="AN48" s="44">
        <v>0.56496000000000002</v>
      </c>
      <c r="AO48" s="44">
        <v>0</v>
      </c>
      <c r="AP48" s="44">
        <v>0.56496000000000002</v>
      </c>
      <c r="AQ48" s="44">
        <v>0</v>
      </c>
      <c r="AR48" s="44">
        <v>0.56496000000000002</v>
      </c>
      <c r="AS48" s="44">
        <v>0</v>
      </c>
      <c r="AT48" s="44">
        <v>0.56496000000000002</v>
      </c>
      <c r="AU48" s="44">
        <v>0</v>
      </c>
      <c r="AV48" s="44">
        <v>0.56496000000000002</v>
      </c>
      <c r="AW48" s="44">
        <v>0</v>
      </c>
      <c r="AX48" s="44">
        <v>2.19285</v>
      </c>
      <c r="AY48" s="44">
        <v>0</v>
      </c>
      <c r="AZ48" s="44">
        <v>2.19285</v>
      </c>
      <c r="BA48" s="44">
        <v>0</v>
      </c>
      <c r="BB48" s="44">
        <v>2.19285</v>
      </c>
      <c r="BC48" s="44">
        <v>0</v>
      </c>
      <c r="BD48" s="44">
        <v>2.8794499999999998</v>
      </c>
      <c r="BE48" s="44">
        <v>0</v>
      </c>
      <c r="BF48" s="44">
        <v>307.66515999999996</v>
      </c>
      <c r="BG48" s="44">
        <v>0</v>
      </c>
      <c r="BH48" s="44">
        <v>307.66515999999996</v>
      </c>
      <c r="BI48" s="44">
        <v>0</v>
      </c>
      <c r="BJ48" s="44">
        <v>317.04237000000001</v>
      </c>
      <c r="BK48" s="44">
        <v>0</v>
      </c>
      <c r="BL48" s="44">
        <v>317.36237</v>
      </c>
      <c r="BM48" s="44">
        <v>0</v>
      </c>
      <c r="BN48" s="44">
        <v>318.80237</v>
      </c>
      <c r="BO48" s="44">
        <v>0</v>
      </c>
      <c r="BP48" s="44">
        <v>318.80237</v>
      </c>
      <c r="BQ48" s="44">
        <v>0</v>
      </c>
      <c r="BR48" s="44">
        <v>318.80237</v>
      </c>
      <c r="BS48" s="44">
        <v>0</v>
      </c>
      <c r="BT48" s="44">
        <v>321.47416999999996</v>
      </c>
      <c r="BU48" s="44">
        <v>0</v>
      </c>
      <c r="BV48" s="44">
        <v>1.2556500000000002</v>
      </c>
      <c r="BW48" s="44">
        <v>13.238</v>
      </c>
      <c r="BX48" s="44">
        <v>2.8156599999999998</v>
      </c>
      <c r="BY48" s="44">
        <v>13.238</v>
      </c>
      <c r="BZ48" s="44">
        <v>1.5600099999999999</v>
      </c>
      <c r="CA48" s="44">
        <v>13.238</v>
      </c>
      <c r="CB48" s="44">
        <v>2.0400100000000001</v>
      </c>
      <c r="CC48" s="44">
        <v>13.238</v>
      </c>
      <c r="CD48" s="44">
        <v>406.43056999999999</v>
      </c>
      <c r="CE48" s="44">
        <v>13.238</v>
      </c>
      <c r="CF48" s="44">
        <v>406.43056999999999</v>
      </c>
      <c r="CG48" s="44">
        <v>13.238</v>
      </c>
      <c r="CH48" s="44">
        <v>406.43056999999999</v>
      </c>
      <c r="CI48" s="44">
        <v>13.238</v>
      </c>
      <c r="CJ48" s="44">
        <v>406.75056999999998</v>
      </c>
      <c r="CK48" s="44">
        <v>13.238</v>
      </c>
      <c r="CL48" s="44">
        <v>406.75056999999998</v>
      </c>
      <c r="CM48" s="44">
        <v>13.238</v>
      </c>
      <c r="CN48" s="44">
        <v>406.75056999999998</v>
      </c>
      <c r="CO48" s="44">
        <v>13.238</v>
      </c>
      <c r="CP48" s="44">
        <v>407.98237</v>
      </c>
      <c r="CQ48" s="44">
        <v>13.238</v>
      </c>
      <c r="CR48" s="44">
        <v>407.98237</v>
      </c>
      <c r="CS48" s="44">
        <v>13.238</v>
      </c>
      <c r="CT48" s="44">
        <v>0</v>
      </c>
      <c r="CU48" s="44">
        <v>0</v>
      </c>
      <c r="CV48" s="44">
        <v>0</v>
      </c>
      <c r="CW48" s="44">
        <v>0</v>
      </c>
      <c r="CX48" s="44">
        <v>0</v>
      </c>
      <c r="CY48" s="44">
        <v>0</v>
      </c>
      <c r="CZ48" s="44">
        <v>0</v>
      </c>
      <c r="DA48" s="44">
        <v>0</v>
      </c>
      <c r="DB48" s="44">
        <v>413.06063</v>
      </c>
      <c r="DC48" s="44">
        <v>0</v>
      </c>
      <c r="DD48" s="44">
        <v>413.70938000000001</v>
      </c>
      <c r="DE48" s="44">
        <v>0</v>
      </c>
      <c r="DF48" s="44">
        <v>413.70938000000001</v>
      </c>
      <c r="DG48" s="44">
        <v>0</v>
      </c>
      <c r="DH48" s="44">
        <v>413.70938000000001</v>
      </c>
      <c r="DI48" s="44">
        <v>0</v>
      </c>
      <c r="DJ48" s="44">
        <v>436.88190999999995</v>
      </c>
      <c r="DK48" s="44">
        <v>0</v>
      </c>
      <c r="DL48" s="44">
        <v>436.88191</v>
      </c>
      <c r="DM48" s="44">
        <v>0</v>
      </c>
      <c r="DN48" s="44">
        <v>436.88191</v>
      </c>
      <c r="DO48" s="44">
        <v>0</v>
      </c>
      <c r="DP48" s="44">
        <v>452.64600000000002</v>
      </c>
      <c r="DQ48" s="45">
        <v>0</v>
      </c>
      <c r="DR48" s="46">
        <v>0</v>
      </c>
      <c r="DS48" s="47">
        <v>0</v>
      </c>
      <c r="DT48" s="48">
        <v>0</v>
      </c>
      <c r="DU48" s="45">
        <v>0</v>
      </c>
      <c r="DV48" s="46">
        <v>0</v>
      </c>
      <c r="DW48" s="47">
        <v>0</v>
      </c>
      <c r="DX48" s="48">
        <v>0</v>
      </c>
      <c r="DY48" s="45">
        <v>0</v>
      </c>
      <c r="DZ48" s="46">
        <v>417.37450999999999</v>
      </c>
      <c r="EA48" s="47">
        <v>0</v>
      </c>
      <c r="EB48" s="48">
        <v>416.72575999999998</v>
      </c>
      <c r="EC48" s="45">
        <v>0</v>
      </c>
      <c r="ED48" s="46">
        <v>417.37450999999999</v>
      </c>
      <c r="EE48" s="47">
        <v>0</v>
      </c>
      <c r="EF48" s="46">
        <v>417.37450999999999</v>
      </c>
      <c r="EG48" s="47">
        <v>0</v>
      </c>
      <c r="EH48" s="48">
        <v>417.37450999999999</v>
      </c>
      <c r="EI48" s="47">
        <v>0</v>
      </c>
      <c r="EJ48" s="48">
        <v>417.37450999999999</v>
      </c>
      <c r="EK48" s="47">
        <v>0</v>
      </c>
      <c r="EL48" s="46">
        <v>417.37450999999999</v>
      </c>
      <c r="EM48" s="49">
        <v>0</v>
      </c>
      <c r="EN48" s="46">
        <v>442.06891000000002</v>
      </c>
      <c r="EO48" s="49">
        <v>0</v>
      </c>
      <c r="EP48" s="46">
        <v>0</v>
      </c>
      <c r="EQ48" s="49">
        <v>0</v>
      </c>
      <c r="ER48" s="46">
        <v>0</v>
      </c>
      <c r="ES48" s="49">
        <v>0</v>
      </c>
      <c r="ET48" s="46">
        <v>0</v>
      </c>
      <c r="EU48" s="49">
        <v>0</v>
      </c>
      <c r="EV48" s="46">
        <v>0</v>
      </c>
      <c r="EW48" s="49">
        <v>0</v>
      </c>
      <c r="EX48" s="46">
        <v>445.5462</v>
      </c>
      <c r="EY48" s="49">
        <v>0</v>
      </c>
      <c r="EZ48" s="46">
        <v>445.5462</v>
      </c>
      <c r="FA48" s="49">
        <v>0</v>
      </c>
      <c r="FB48" s="46">
        <v>445.5462</v>
      </c>
      <c r="FC48" s="49">
        <v>0</v>
      </c>
      <c r="FD48" s="46">
        <v>445.5462</v>
      </c>
      <c r="FE48" s="49">
        <v>0</v>
      </c>
      <c r="FF48" s="46">
        <v>445.5462</v>
      </c>
      <c r="FG48" s="49">
        <v>0</v>
      </c>
      <c r="FH48" s="46">
        <v>445.5462</v>
      </c>
      <c r="FI48" s="49">
        <v>0</v>
      </c>
      <c r="FJ48" s="46">
        <v>445.5462</v>
      </c>
      <c r="FK48" s="49">
        <v>0</v>
      </c>
      <c r="FL48" s="46">
        <v>475.54177000000004</v>
      </c>
      <c r="FM48" s="49">
        <v>0</v>
      </c>
      <c r="FN48" s="46">
        <v>0</v>
      </c>
      <c r="FO48" s="49">
        <v>0</v>
      </c>
      <c r="FP48" s="46">
        <v>0</v>
      </c>
      <c r="FQ48" s="49">
        <v>0</v>
      </c>
      <c r="FR48" s="46">
        <v>0</v>
      </c>
      <c r="FS48" s="49">
        <v>0</v>
      </c>
      <c r="FT48" s="46">
        <v>0</v>
      </c>
      <c r="FU48" s="49">
        <v>0</v>
      </c>
      <c r="FV48" s="46">
        <v>480.88665000000003</v>
      </c>
      <c r="FW48" s="49">
        <v>0</v>
      </c>
      <c r="FX48" s="46">
        <v>480.88664999999997</v>
      </c>
      <c r="FY48" s="49">
        <v>0</v>
      </c>
      <c r="FZ48" s="46">
        <v>480.88664999999997</v>
      </c>
      <c r="GA48" s="49">
        <v>0</v>
      </c>
      <c r="GB48" s="46">
        <v>480.88664999999997</v>
      </c>
      <c r="GC48" s="49">
        <v>0</v>
      </c>
      <c r="GD48" s="46">
        <v>480.88664999999997</v>
      </c>
      <c r="GE48" s="49">
        <v>0</v>
      </c>
      <c r="GF48" s="46">
        <v>480.88664999999997</v>
      </c>
      <c r="GG48" s="49">
        <v>0</v>
      </c>
      <c r="GH48" s="46">
        <v>480.88664999999997</v>
      </c>
      <c r="GI48" s="49">
        <v>0</v>
      </c>
      <c r="GJ48" s="46">
        <v>510.49029999999999</v>
      </c>
      <c r="GK48" s="49">
        <v>0</v>
      </c>
      <c r="GL48" s="46">
        <v>0</v>
      </c>
      <c r="GM48" s="49">
        <v>0</v>
      </c>
      <c r="GN48" s="46">
        <v>1</v>
      </c>
      <c r="GO48" s="49">
        <v>0</v>
      </c>
      <c r="GP48" s="46">
        <v>1</v>
      </c>
      <c r="GQ48" s="49">
        <v>0</v>
      </c>
      <c r="GR48" s="46">
        <v>1</v>
      </c>
      <c r="GS48" s="49">
        <v>0</v>
      </c>
      <c r="GT48" s="46">
        <v>474.50646</v>
      </c>
      <c r="GU48" s="49">
        <v>0</v>
      </c>
      <c r="GV48" s="46">
        <v>474.50646</v>
      </c>
      <c r="GW48" s="49">
        <v>0</v>
      </c>
      <c r="GX48" s="46">
        <v>474.50646</v>
      </c>
      <c r="GY48" s="49">
        <v>0</v>
      </c>
      <c r="GZ48" s="46">
        <v>474.50646</v>
      </c>
      <c r="HA48" s="49">
        <v>0</v>
      </c>
      <c r="HB48" s="46">
        <v>474.50646</v>
      </c>
      <c r="HC48" s="49">
        <v>0</v>
      </c>
      <c r="HD48" s="46">
        <v>474.50646</v>
      </c>
      <c r="HE48" s="49">
        <v>0</v>
      </c>
      <c r="HF48" s="46">
        <v>474.50646</v>
      </c>
      <c r="HG48" s="49">
        <v>0</v>
      </c>
      <c r="HH48" s="46">
        <v>495.84913</v>
      </c>
      <c r="HI48" s="49">
        <v>0</v>
      </c>
      <c r="HJ48" s="46">
        <v>0</v>
      </c>
      <c r="HK48" s="49">
        <v>0</v>
      </c>
      <c r="HL48" s="46">
        <v>1</v>
      </c>
      <c r="HM48" s="49">
        <v>0</v>
      </c>
      <c r="HN48" s="46">
        <v>1</v>
      </c>
      <c r="HO48" s="49">
        <v>0</v>
      </c>
      <c r="HP48" s="46">
        <v>1</v>
      </c>
      <c r="HQ48" s="49">
        <v>0</v>
      </c>
      <c r="HR48" s="46">
        <v>20.459219999999998</v>
      </c>
      <c r="HS48" s="49">
        <v>0</v>
      </c>
      <c r="HT48" s="46">
        <v>507.54901999999998</v>
      </c>
      <c r="HU48" s="49">
        <v>0</v>
      </c>
      <c r="HV48" s="46">
        <v>553.63145999999995</v>
      </c>
      <c r="HW48" s="49">
        <v>0</v>
      </c>
      <c r="HX48" s="46">
        <v>553.63145999999995</v>
      </c>
      <c r="HY48" s="49">
        <v>0</v>
      </c>
      <c r="HZ48" s="46">
        <v>553.63145999999995</v>
      </c>
      <c r="IA48" s="49">
        <v>0</v>
      </c>
      <c r="IB48" s="14" t="s">
        <v>89</v>
      </c>
      <c r="ID48" s="81"/>
    </row>
    <row r="49" spans="1:240" s="9" customFormat="1" ht="22.5" customHeight="1" x14ac:dyDescent="0.4">
      <c r="A49" s="15" t="s">
        <v>90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9.2696000000000005</v>
      </c>
      <c r="M49" s="50">
        <v>0</v>
      </c>
      <c r="N49" s="50">
        <v>9.2696000000000005</v>
      </c>
      <c r="O49" s="50">
        <v>0</v>
      </c>
      <c r="P49" s="50">
        <v>9.2696000000000005</v>
      </c>
      <c r="Q49" s="50">
        <v>0</v>
      </c>
      <c r="R49" s="50">
        <v>9.2696000000000005</v>
      </c>
      <c r="S49" s="50">
        <v>0</v>
      </c>
      <c r="T49" s="50">
        <v>9.2696000000000005</v>
      </c>
      <c r="U49" s="50">
        <v>0</v>
      </c>
      <c r="V49" s="50">
        <v>9.2696000000000005</v>
      </c>
      <c r="W49" s="50">
        <v>0</v>
      </c>
      <c r="X49" s="50">
        <v>9.2696000000000005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0.56496000000000002</v>
      </c>
      <c r="AG49" s="50">
        <v>0</v>
      </c>
      <c r="AH49" s="50">
        <v>0.56496000000000002</v>
      </c>
      <c r="AI49" s="50">
        <v>0</v>
      </c>
      <c r="AJ49" s="50">
        <v>0.56496000000000002</v>
      </c>
      <c r="AK49" s="50">
        <v>0</v>
      </c>
      <c r="AL49" s="50">
        <v>0.56496000000000002</v>
      </c>
      <c r="AM49" s="50">
        <v>0</v>
      </c>
      <c r="AN49" s="50">
        <v>0.56496000000000002</v>
      </c>
      <c r="AO49" s="50">
        <v>0</v>
      </c>
      <c r="AP49" s="50">
        <v>0.56496000000000002</v>
      </c>
      <c r="AQ49" s="50">
        <v>0</v>
      </c>
      <c r="AR49" s="50">
        <v>0.56496000000000002</v>
      </c>
      <c r="AS49" s="50">
        <v>0</v>
      </c>
      <c r="AT49" s="50">
        <v>0.56496000000000002</v>
      </c>
      <c r="AU49" s="50">
        <v>0</v>
      </c>
      <c r="AV49" s="50">
        <v>0.56496000000000002</v>
      </c>
      <c r="AW49" s="50">
        <v>0</v>
      </c>
      <c r="AX49" s="50">
        <v>2.19285</v>
      </c>
      <c r="AY49" s="50">
        <v>0</v>
      </c>
      <c r="AZ49" s="50">
        <v>2.19285</v>
      </c>
      <c r="BA49" s="50">
        <v>0</v>
      </c>
      <c r="BB49" s="50">
        <v>2.19285</v>
      </c>
      <c r="BC49" s="50">
        <v>0</v>
      </c>
      <c r="BD49" s="50">
        <v>2.8794499999999998</v>
      </c>
      <c r="BE49" s="50">
        <v>0</v>
      </c>
      <c r="BF49" s="50">
        <v>307.66515999999996</v>
      </c>
      <c r="BG49" s="50">
        <v>0</v>
      </c>
      <c r="BH49" s="50">
        <v>307.66515999999996</v>
      </c>
      <c r="BI49" s="50">
        <v>0</v>
      </c>
      <c r="BJ49" s="50">
        <v>317.04237000000001</v>
      </c>
      <c r="BK49" s="50">
        <v>0</v>
      </c>
      <c r="BL49" s="50">
        <v>317.36237</v>
      </c>
      <c r="BM49" s="50">
        <v>0</v>
      </c>
      <c r="BN49" s="50">
        <v>318.80237</v>
      </c>
      <c r="BO49" s="50">
        <v>0</v>
      </c>
      <c r="BP49" s="50">
        <v>318.80237</v>
      </c>
      <c r="BQ49" s="50">
        <v>0</v>
      </c>
      <c r="BR49" s="50">
        <v>318.80237</v>
      </c>
      <c r="BS49" s="50">
        <v>0</v>
      </c>
      <c r="BT49" s="50">
        <v>321.47416999999996</v>
      </c>
      <c r="BU49" s="50">
        <v>0</v>
      </c>
      <c r="BV49" s="50">
        <v>1.2556500000000002</v>
      </c>
      <c r="BW49" s="50">
        <v>13.238</v>
      </c>
      <c r="BX49" s="50">
        <v>2.8156599999999998</v>
      </c>
      <c r="BY49" s="50">
        <v>13.238</v>
      </c>
      <c r="BZ49" s="50">
        <v>1.5600099999999999</v>
      </c>
      <c r="CA49" s="50">
        <v>13.238</v>
      </c>
      <c r="CB49" s="50">
        <v>2.0400100000000001</v>
      </c>
      <c r="CC49" s="50">
        <v>13.238</v>
      </c>
      <c r="CD49" s="50">
        <v>406.43056999999999</v>
      </c>
      <c r="CE49" s="50">
        <v>13.238</v>
      </c>
      <c r="CF49" s="50">
        <v>406.43056999999999</v>
      </c>
      <c r="CG49" s="50">
        <v>13.238</v>
      </c>
      <c r="CH49" s="50">
        <v>406.43056999999999</v>
      </c>
      <c r="CI49" s="50">
        <v>13.238</v>
      </c>
      <c r="CJ49" s="50">
        <v>406.75056999999998</v>
      </c>
      <c r="CK49" s="50">
        <v>13.238</v>
      </c>
      <c r="CL49" s="50">
        <v>406.75056999999998</v>
      </c>
      <c r="CM49" s="50">
        <v>13.238</v>
      </c>
      <c r="CN49" s="50">
        <v>406.75056999999998</v>
      </c>
      <c r="CO49" s="50">
        <v>13.238</v>
      </c>
      <c r="CP49" s="50">
        <v>407.98237</v>
      </c>
      <c r="CQ49" s="50">
        <v>13.238</v>
      </c>
      <c r="CR49" s="50">
        <v>407.98237</v>
      </c>
      <c r="CS49" s="50">
        <v>13.238</v>
      </c>
      <c r="CT49" s="50">
        <v>0</v>
      </c>
      <c r="CU49" s="50">
        <v>0</v>
      </c>
      <c r="CV49" s="50">
        <v>0</v>
      </c>
      <c r="CW49" s="50">
        <v>0</v>
      </c>
      <c r="CX49" s="50">
        <v>0</v>
      </c>
      <c r="CY49" s="50">
        <v>0</v>
      </c>
      <c r="CZ49" s="50">
        <v>0</v>
      </c>
      <c r="DA49" s="50">
        <v>0</v>
      </c>
      <c r="DB49" s="50">
        <v>413.06063</v>
      </c>
      <c r="DC49" s="50">
        <v>0</v>
      </c>
      <c r="DD49" s="50">
        <v>413.70938000000001</v>
      </c>
      <c r="DE49" s="50">
        <v>0</v>
      </c>
      <c r="DF49" s="50">
        <v>413.70938000000001</v>
      </c>
      <c r="DG49" s="50">
        <v>0</v>
      </c>
      <c r="DH49" s="50">
        <v>413.70938000000001</v>
      </c>
      <c r="DI49" s="50">
        <v>0</v>
      </c>
      <c r="DJ49" s="50">
        <v>436.88190999999995</v>
      </c>
      <c r="DK49" s="50">
        <v>0</v>
      </c>
      <c r="DL49" s="50">
        <v>436.88191</v>
      </c>
      <c r="DM49" s="50">
        <v>0</v>
      </c>
      <c r="DN49" s="50">
        <v>436.88191</v>
      </c>
      <c r="DO49" s="50">
        <v>0</v>
      </c>
      <c r="DP49" s="50">
        <v>452.64600000000002</v>
      </c>
      <c r="DQ49" s="51">
        <v>0</v>
      </c>
      <c r="DR49" s="52">
        <v>0</v>
      </c>
      <c r="DS49" s="53">
        <v>0</v>
      </c>
      <c r="DT49" s="54">
        <v>0</v>
      </c>
      <c r="DU49" s="51">
        <v>0</v>
      </c>
      <c r="DV49" s="52">
        <v>0</v>
      </c>
      <c r="DW49" s="53">
        <v>0</v>
      </c>
      <c r="DX49" s="54">
        <v>0</v>
      </c>
      <c r="DY49" s="51">
        <v>0</v>
      </c>
      <c r="DZ49" s="52">
        <v>417.37450999999999</v>
      </c>
      <c r="EA49" s="53">
        <v>0</v>
      </c>
      <c r="EB49" s="54">
        <v>416.72575999999998</v>
      </c>
      <c r="EC49" s="51">
        <v>0</v>
      </c>
      <c r="ED49" s="52">
        <v>417.37450999999999</v>
      </c>
      <c r="EE49" s="53">
        <v>0</v>
      </c>
      <c r="EF49" s="52">
        <v>417.37450999999999</v>
      </c>
      <c r="EG49" s="53">
        <v>0</v>
      </c>
      <c r="EH49" s="54">
        <v>417.37450999999999</v>
      </c>
      <c r="EI49" s="53">
        <v>0</v>
      </c>
      <c r="EJ49" s="54">
        <v>417.37450999999999</v>
      </c>
      <c r="EK49" s="53">
        <v>0</v>
      </c>
      <c r="EL49" s="52">
        <v>417.37450999999999</v>
      </c>
      <c r="EM49" s="55">
        <v>0</v>
      </c>
      <c r="EN49" s="52">
        <v>442.06891000000002</v>
      </c>
      <c r="EO49" s="55">
        <v>0</v>
      </c>
      <c r="EP49" s="52">
        <v>0</v>
      </c>
      <c r="EQ49" s="55">
        <v>0</v>
      </c>
      <c r="ER49" s="52">
        <v>0</v>
      </c>
      <c r="ES49" s="55">
        <v>0</v>
      </c>
      <c r="ET49" s="52">
        <v>0</v>
      </c>
      <c r="EU49" s="55">
        <v>0</v>
      </c>
      <c r="EV49" s="52">
        <v>0</v>
      </c>
      <c r="EW49" s="55">
        <v>0</v>
      </c>
      <c r="EX49" s="52">
        <v>445.5462</v>
      </c>
      <c r="EY49" s="55">
        <v>0</v>
      </c>
      <c r="EZ49" s="52">
        <v>445.5462</v>
      </c>
      <c r="FA49" s="55">
        <v>0</v>
      </c>
      <c r="FB49" s="52">
        <v>445.5462</v>
      </c>
      <c r="FC49" s="55">
        <v>0</v>
      </c>
      <c r="FD49" s="52">
        <v>445.5462</v>
      </c>
      <c r="FE49" s="55">
        <v>0</v>
      </c>
      <c r="FF49" s="52">
        <v>445.5462</v>
      </c>
      <c r="FG49" s="55">
        <v>0</v>
      </c>
      <c r="FH49" s="52">
        <v>445.5462</v>
      </c>
      <c r="FI49" s="55">
        <v>0</v>
      </c>
      <c r="FJ49" s="52">
        <v>445.5462</v>
      </c>
      <c r="FK49" s="55">
        <v>0</v>
      </c>
      <c r="FL49" s="52">
        <v>475.54177000000004</v>
      </c>
      <c r="FM49" s="55">
        <v>0</v>
      </c>
      <c r="FN49" s="52">
        <v>0</v>
      </c>
      <c r="FO49" s="55">
        <v>0</v>
      </c>
      <c r="FP49" s="52">
        <v>0</v>
      </c>
      <c r="FQ49" s="55">
        <v>0</v>
      </c>
      <c r="FR49" s="52">
        <v>0</v>
      </c>
      <c r="FS49" s="55">
        <v>0</v>
      </c>
      <c r="FT49" s="52">
        <v>0</v>
      </c>
      <c r="FU49" s="55">
        <v>0</v>
      </c>
      <c r="FV49" s="52">
        <v>480.88665000000003</v>
      </c>
      <c r="FW49" s="55">
        <v>0</v>
      </c>
      <c r="FX49" s="52">
        <v>480.88664999999997</v>
      </c>
      <c r="FY49" s="55">
        <v>0</v>
      </c>
      <c r="FZ49" s="52">
        <v>480.88664999999997</v>
      </c>
      <c r="GA49" s="55">
        <v>0</v>
      </c>
      <c r="GB49" s="52">
        <v>480.88664999999997</v>
      </c>
      <c r="GC49" s="55">
        <v>0</v>
      </c>
      <c r="GD49" s="52">
        <v>480.88664999999997</v>
      </c>
      <c r="GE49" s="55">
        <v>0</v>
      </c>
      <c r="GF49" s="52">
        <v>480.88664999999997</v>
      </c>
      <c r="GG49" s="55">
        <v>0</v>
      </c>
      <c r="GH49" s="52">
        <v>480.88664999999997</v>
      </c>
      <c r="GI49" s="55">
        <v>0</v>
      </c>
      <c r="GJ49" s="52">
        <v>510.49029999999999</v>
      </c>
      <c r="GK49" s="55">
        <v>0</v>
      </c>
      <c r="GL49" s="52">
        <v>0</v>
      </c>
      <c r="GM49" s="55">
        <v>0</v>
      </c>
      <c r="GN49" s="52">
        <v>1</v>
      </c>
      <c r="GO49" s="55">
        <v>0</v>
      </c>
      <c r="GP49" s="52">
        <v>1</v>
      </c>
      <c r="GQ49" s="55">
        <v>0</v>
      </c>
      <c r="GR49" s="52">
        <v>1</v>
      </c>
      <c r="GS49" s="55">
        <v>0</v>
      </c>
      <c r="GT49" s="52">
        <v>474.50646</v>
      </c>
      <c r="GU49" s="55">
        <v>0</v>
      </c>
      <c r="GV49" s="52">
        <v>474.50646</v>
      </c>
      <c r="GW49" s="55">
        <v>0</v>
      </c>
      <c r="GX49" s="52">
        <v>474.50646</v>
      </c>
      <c r="GY49" s="55">
        <v>0</v>
      </c>
      <c r="GZ49" s="52">
        <v>474.50646</v>
      </c>
      <c r="HA49" s="55">
        <v>0</v>
      </c>
      <c r="HB49" s="52">
        <v>474.50646</v>
      </c>
      <c r="HC49" s="55">
        <v>0</v>
      </c>
      <c r="HD49" s="52">
        <v>474.50646</v>
      </c>
      <c r="HE49" s="55">
        <v>0</v>
      </c>
      <c r="HF49" s="52">
        <v>474.50646</v>
      </c>
      <c r="HG49" s="55">
        <v>0</v>
      </c>
      <c r="HH49" s="52">
        <v>495.84913</v>
      </c>
      <c r="HI49" s="55">
        <v>0</v>
      </c>
      <c r="HJ49" s="52">
        <v>0</v>
      </c>
      <c r="HK49" s="55">
        <v>0</v>
      </c>
      <c r="HL49" s="52">
        <v>1</v>
      </c>
      <c r="HM49" s="55">
        <v>0</v>
      </c>
      <c r="HN49" s="52">
        <v>1</v>
      </c>
      <c r="HO49" s="55">
        <v>0</v>
      </c>
      <c r="HP49" s="52">
        <v>1</v>
      </c>
      <c r="HQ49" s="55">
        <v>0</v>
      </c>
      <c r="HR49" s="52">
        <v>20.459219999999998</v>
      </c>
      <c r="HS49" s="55">
        <v>0</v>
      </c>
      <c r="HT49" s="52">
        <v>507.54901999999998</v>
      </c>
      <c r="HU49" s="55">
        <v>0</v>
      </c>
      <c r="HV49" s="52">
        <v>553.63145999999995</v>
      </c>
      <c r="HW49" s="55">
        <v>0</v>
      </c>
      <c r="HX49" s="52">
        <v>553.63145999999995</v>
      </c>
      <c r="HY49" s="55">
        <v>0</v>
      </c>
      <c r="HZ49" s="52">
        <v>553.63145999999995</v>
      </c>
      <c r="IA49" s="55">
        <v>0</v>
      </c>
      <c r="IB49" s="16" t="s">
        <v>125</v>
      </c>
      <c r="ID49" s="81"/>
    </row>
    <row r="50" spans="1:240" s="9" customFormat="1" ht="22.5" customHeight="1" x14ac:dyDescent="0.4">
      <c r="A50" s="14" t="s">
        <v>91</v>
      </c>
      <c r="B50" s="44">
        <f t="shared" ref="B50:BM50" si="307">B52+B54</f>
        <v>11611.818950000001</v>
      </c>
      <c r="C50" s="44">
        <f t="shared" si="307"/>
        <v>3949.48569</v>
      </c>
      <c r="D50" s="44">
        <f t="shared" si="307"/>
        <v>22360.455129999998</v>
      </c>
      <c r="E50" s="44">
        <f t="shared" si="307"/>
        <v>7948.8558000000003</v>
      </c>
      <c r="F50" s="44">
        <f t="shared" si="307"/>
        <v>38768.336169999995</v>
      </c>
      <c r="G50" s="44">
        <f t="shared" si="307"/>
        <v>12948.66258</v>
      </c>
      <c r="H50" s="44">
        <f t="shared" si="307"/>
        <v>53405.956040000005</v>
      </c>
      <c r="I50" s="44">
        <f t="shared" si="307"/>
        <v>17567.398399999998</v>
      </c>
      <c r="J50" s="44">
        <f t="shared" si="307"/>
        <v>67468.390600000013</v>
      </c>
      <c r="K50" s="44">
        <f t="shared" si="307"/>
        <v>21966.009310000005</v>
      </c>
      <c r="L50" s="44">
        <f t="shared" si="307"/>
        <v>82355.958299999998</v>
      </c>
      <c r="M50" s="44">
        <f t="shared" si="307"/>
        <v>25837.258080000007</v>
      </c>
      <c r="N50" s="44">
        <f t="shared" si="307"/>
        <v>99372.473169999997</v>
      </c>
      <c r="O50" s="44">
        <f t="shared" si="307"/>
        <v>30689.038120000001</v>
      </c>
      <c r="P50" s="44">
        <f t="shared" si="307"/>
        <v>115937.07827999999</v>
      </c>
      <c r="Q50" s="44">
        <f t="shared" si="307"/>
        <v>36314.476459999998</v>
      </c>
      <c r="R50" s="44">
        <f t="shared" si="307"/>
        <v>132704.94069000002</v>
      </c>
      <c r="S50" s="44">
        <f t="shared" si="307"/>
        <v>40854.17955999999</v>
      </c>
      <c r="T50" s="44">
        <f t="shared" si="307"/>
        <v>155351.68312000003</v>
      </c>
      <c r="U50" s="44">
        <f t="shared" si="307"/>
        <v>45737.200679999994</v>
      </c>
      <c r="V50" s="44">
        <f t="shared" si="307"/>
        <v>168470.16164999999</v>
      </c>
      <c r="W50" s="44">
        <f t="shared" si="307"/>
        <v>51161.473689999992</v>
      </c>
      <c r="X50" s="44">
        <f t="shared" si="307"/>
        <v>181635.10555000001</v>
      </c>
      <c r="Y50" s="44">
        <f t="shared" si="307"/>
        <v>57684.705239999996</v>
      </c>
      <c r="Z50" s="44">
        <f t="shared" si="307"/>
        <v>10901.20126</v>
      </c>
      <c r="AA50" s="44">
        <f t="shared" si="307"/>
        <v>4995.2671</v>
      </c>
      <c r="AB50" s="44">
        <f t="shared" si="307"/>
        <v>23376.358039999999</v>
      </c>
      <c r="AC50" s="44">
        <f t="shared" si="307"/>
        <v>10849.802179999999</v>
      </c>
      <c r="AD50" s="44">
        <f t="shared" si="307"/>
        <v>36057.226300000002</v>
      </c>
      <c r="AE50" s="44">
        <f t="shared" si="307"/>
        <v>15857.8236</v>
      </c>
      <c r="AF50" s="44">
        <f t="shared" si="307"/>
        <v>80558.724530000007</v>
      </c>
      <c r="AG50" s="44">
        <f t="shared" si="307"/>
        <v>21561.501070000002</v>
      </c>
      <c r="AH50" s="44">
        <f t="shared" si="307"/>
        <v>95412.671089999989</v>
      </c>
      <c r="AI50" s="44">
        <f t="shared" si="307"/>
        <v>27665.992920000004</v>
      </c>
      <c r="AJ50" s="44">
        <f t="shared" si="307"/>
        <v>109532.84325999999</v>
      </c>
      <c r="AK50" s="44">
        <f t="shared" si="307"/>
        <v>32197.48069</v>
      </c>
      <c r="AL50" s="44">
        <f t="shared" si="307"/>
        <v>125373.81953000001</v>
      </c>
      <c r="AM50" s="44">
        <f t="shared" si="307"/>
        <v>38395.118369999997</v>
      </c>
      <c r="AN50" s="44">
        <f t="shared" si="307"/>
        <v>142260.94193</v>
      </c>
      <c r="AO50" s="44">
        <f t="shared" si="307"/>
        <v>43941.965569999993</v>
      </c>
      <c r="AP50" s="44">
        <f t="shared" si="307"/>
        <v>153593.75383999996</v>
      </c>
      <c r="AQ50" s="44">
        <f t="shared" si="307"/>
        <v>49591.581520000014</v>
      </c>
      <c r="AR50" s="44">
        <f t="shared" si="307"/>
        <v>166409.30296</v>
      </c>
      <c r="AS50" s="44">
        <f t="shared" si="307"/>
        <v>56218.566330000001</v>
      </c>
      <c r="AT50" s="44">
        <f t="shared" si="307"/>
        <v>178570.83778</v>
      </c>
      <c r="AU50" s="44">
        <f t="shared" si="307"/>
        <v>61721.357839999997</v>
      </c>
      <c r="AV50" s="44">
        <f t="shared" si="307"/>
        <v>191807.12871000002</v>
      </c>
      <c r="AW50" s="44">
        <f t="shared" si="307"/>
        <v>67768.636160000009</v>
      </c>
      <c r="AX50" s="44">
        <f t="shared" si="307"/>
        <v>15606.13017</v>
      </c>
      <c r="AY50" s="44">
        <f t="shared" si="307"/>
        <v>6362.0858500000004</v>
      </c>
      <c r="AZ50" s="44">
        <f t="shared" si="307"/>
        <v>28868.257840000002</v>
      </c>
      <c r="BA50" s="44">
        <f t="shared" si="307"/>
        <v>11778.036810000001</v>
      </c>
      <c r="BB50" s="44">
        <f t="shared" si="307"/>
        <v>71226.599180000005</v>
      </c>
      <c r="BC50" s="44">
        <f t="shared" si="307"/>
        <v>16322.260400000001</v>
      </c>
      <c r="BD50" s="44">
        <f t="shared" si="307"/>
        <v>89094.043239999999</v>
      </c>
      <c r="BE50" s="44">
        <f t="shared" si="307"/>
        <v>23304.849030000001</v>
      </c>
      <c r="BF50" s="44">
        <f t="shared" si="307"/>
        <v>106564.99370000001</v>
      </c>
      <c r="BG50" s="44">
        <f t="shared" si="307"/>
        <v>29754.426670000001</v>
      </c>
      <c r="BH50" s="44">
        <f t="shared" si="307"/>
        <v>119544.04553</v>
      </c>
      <c r="BI50" s="44">
        <f t="shared" si="307"/>
        <v>35833.761849999995</v>
      </c>
      <c r="BJ50" s="44">
        <f t="shared" si="307"/>
        <v>137327.86093</v>
      </c>
      <c r="BK50" s="44">
        <f t="shared" si="307"/>
        <v>44644.09102</v>
      </c>
      <c r="BL50" s="44">
        <f t="shared" si="307"/>
        <v>154159.21894000002</v>
      </c>
      <c r="BM50" s="44">
        <f t="shared" si="307"/>
        <v>51350.613280000005</v>
      </c>
      <c r="BN50" s="44">
        <f t="shared" ref="BN50:DY50" si="308">BN52+BN54</f>
        <v>170731.42296000003</v>
      </c>
      <c r="BO50" s="44">
        <f t="shared" si="308"/>
        <v>58259.038339999999</v>
      </c>
      <c r="BP50" s="44">
        <f t="shared" si="308"/>
        <v>183464.88166000001</v>
      </c>
      <c r="BQ50" s="44">
        <f t="shared" si="308"/>
        <v>65815.875769999999</v>
      </c>
      <c r="BR50" s="44">
        <f t="shared" si="308"/>
        <v>197741.30631000001</v>
      </c>
      <c r="BS50" s="44">
        <f t="shared" si="308"/>
        <v>72680.720759999997</v>
      </c>
      <c r="BT50" s="44">
        <f t="shared" si="308"/>
        <v>224572.63689000008</v>
      </c>
      <c r="BU50" s="44">
        <f t="shared" si="308"/>
        <v>80626.652059999964</v>
      </c>
      <c r="BV50" s="44">
        <f t="shared" si="308"/>
        <v>20794.79737</v>
      </c>
      <c r="BW50" s="44">
        <f t="shared" si="308"/>
        <v>7504.5365200000006</v>
      </c>
      <c r="BX50" s="44">
        <f t="shared" si="308"/>
        <v>67277.857990000004</v>
      </c>
      <c r="BY50" s="44">
        <f t="shared" si="308"/>
        <v>15095.430359999998</v>
      </c>
      <c r="BZ50" s="44">
        <f t="shared" si="308"/>
        <v>80246.469590000008</v>
      </c>
      <c r="CA50" s="44">
        <f t="shared" si="308"/>
        <v>19606.409680000001</v>
      </c>
      <c r="CB50" s="44">
        <f t="shared" si="308"/>
        <v>101529.69776000001</v>
      </c>
      <c r="CC50" s="44">
        <f t="shared" si="308"/>
        <v>25282.572169999996</v>
      </c>
      <c r="CD50" s="44">
        <f t="shared" si="308"/>
        <v>118354.49636000002</v>
      </c>
      <c r="CE50" s="44">
        <f t="shared" si="308"/>
        <v>29247.678780000002</v>
      </c>
      <c r="CF50" s="44">
        <f t="shared" si="308"/>
        <v>132246.10206</v>
      </c>
      <c r="CG50" s="44">
        <f t="shared" si="308"/>
        <v>34332.592920000003</v>
      </c>
      <c r="CH50" s="44">
        <f t="shared" si="308"/>
        <v>147250.72145000001</v>
      </c>
      <c r="CI50" s="44">
        <f t="shared" si="308"/>
        <v>39128.440699999999</v>
      </c>
      <c r="CJ50" s="44">
        <f t="shared" si="308"/>
        <v>162797.23939999999</v>
      </c>
      <c r="CK50" s="44">
        <f t="shared" si="308"/>
        <v>43910.514479999998</v>
      </c>
      <c r="CL50" s="44">
        <f t="shared" si="308"/>
        <v>179829.82478999998</v>
      </c>
      <c r="CM50" s="44">
        <f t="shared" si="308"/>
        <v>50462.66102</v>
      </c>
      <c r="CN50" s="44">
        <f t="shared" si="308"/>
        <v>193151.91069999998</v>
      </c>
      <c r="CO50" s="44">
        <f t="shared" si="308"/>
        <v>56096.271639999999</v>
      </c>
      <c r="CP50" s="44">
        <f t="shared" si="308"/>
        <v>206543.40607</v>
      </c>
      <c r="CQ50" s="44">
        <f t="shared" si="308"/>
        <v>63384.148890000004</v>
      </c>
      <c r="CR50" s="44">
        <f t="shared" si="308"/>
        <v>225865.35851000002</v>
      </c>
      <c r="CS50" s="44">
        <f t="shared" si="308"/>
        <v>86411.88609</v>
      </c>
      <c r="CT50" s="44">
        <f t="shared" si="308"/>
        <v>19832.496029999998</v>
      </c>
      <c r="CU50" s="44">
        <f t="shared" si="308"/>
        <v>19652.993150000002</v>
      </c>
      <c r="CV50" s="44">
        <f t="shared" si="308"/>
        <v>42697.492289999995</v>
      </c>
      <c r="CW50" s="44">
        <f t="shared" si="308"/>
        <v>33060.477250000004</v>
      </c>
      <c r="CX50" s="44">
        <f t="shared" si="308"/>
        <v>93340.679659999994</v>
      </c>
      <c r="CY50" s="44">
        <f t="shared" si="308"/>
        <v>41014.721119999995</v>
      </c>
      <c r="CZ50" s="44">
        <f t="shared" si="308"/>
        <v>116691.06636000001</v>
      </c>
      <c r="DA50" s="44">
        <f t="shared" si="308"/>
        <v>50416.674050000001</v>
      </c>
      <c r="DB50" s="44">
        <f t="shared" si="308"/>
        <v>133213.60582999999</v>
      </c>
      <c r="DC50" s="44">
        <f t="shared" si="308"/>
        <v>56692.474130000002</v>
      </c>
      <c r="DD50" s="44">
        <f t="shared" si="308"/>
        <v>147852.96007999999</v>
      </c>
      <c r="DE50" s="44">
        <f t="shared" si="308"/>
        <v>64536.084889999998</v>
      </c>
      <c r="DF50" s="44">
        <f t="shared" si="308"/>
        <v>163465.39016999997</v>
      </c>
      <c r="DG50" s="44">
        <f t="shared" si="308"/>
        <v>72994.912939999995</v>
      </c>
      <c r="DH50" s="44">
        <f t="shared" si="308"/>
        <v>181767.19612000001</v>
      </c>
      <c r="DI50" s="44">
        <f t="shared" si="308"/>
        <v>82121.944059999994</v>
      </c>
      <c r="DJ50" s="44">
        <f t="shared" si="308"/>
        <v>207648.49912999998</v>
      </c>
      <c r="DK50" s="44">
        <f t="shared" si="308"/>
        <v>92651.696059999987</v>
      </c>
      <c r="DL50" s="44">
        <f t="shared" si="308"/>
        <v>223047.62884999998</v>
      </c>
      <c r="DM50" s="44">
        <f t="shared" si="308"/>
        <v>101362.81264</v>
      </c>
      <c r="DN50" s="44">
        <f t="shared" si="308"/>
        <v>239015.98203000004</v>
      </c>
      <c r="DO50" s="44">
        <f t="shared" si="308"/>
        <v>110110.4673</v>
      </c>
      <c r="DP50" s="44">
        <f t="shared" si="308"/>
        <v>257302.64898999999</v>
      </c>
      <c r="DQ50" s="45">
        <f t="shared" si="308"/>
        <v>119460.75782</v>
      </c>
      <c r="DR50" s="56">
        <f t="shared" si="308"/>
        <v>18538.88263</v>
      </c>
      <c r="DS50" s="57">
        <f t="shared" si="308"/>
        <v>7204.4734900000003</v>
      </c>
      <c r="DT50" s="48">
        <f t="shared" si="308"/>
        <v>35170.706870000002</v>
      </c>
      <c r="DU50" s="45">
        <f t="shared" si="308"/>
        <v>14472.987370000001</v>
      </c>
      <c r="DV50" s="46">
        <f t="shared" si="308"/>
        <v>64435.877269999997</v>
      </c>
      <c r="DW50" s="47">
        <f t="shared" si="308"/>
        <v>22329.003340000003</v>
      </c>
      <c r="DX50" s="48">
        <f t="shared" si="308"/>
        <v>91026.119080000004</v>
      </c>
      <c r="DY50" s="45">
        <f t="shared" si="308"/>
        <v>31066.905129999999</v>
      </c>
      <c r="DZ50" s="46">
        <f t="shared" ref="DZ50:EM50" si="309">DZ52+DZ54</f>
        <v>108572.48303999999</v>
      </c>
      <c r="EA50" s="47">
        <f t="shared" si="309"/>
        <v>38434.226199999997</v>
      </c>
      <c r="EB50" s="48">
        <f t="shared" si="309"/>
        <v>124906.58470000001</v>
      </c>
      <c r="EC50" s="45">
        <f t="shared" si="309"/>
        <v>44673.88607</v>
      </c>
      <c r="ED50" s="46">
        <f t="shared" si="309"/>
        <v>141790.74886000002</v>
      </c>
      <c r="EE50" s="47">
        <f t="shared" si="309"/>
        <v>54345.687170000005</v>
      </c>
      <c r="EF50" s="46">
        <f t="shared" si="309"/>
        <v>161232.07725</v>
      </c>
      <c r="EG50" s="49">
        <f t="shared" si="309"/>
        <v>63354.652249999992</v>
      </c>
      <c r="EH50" s="45">
        <f t="shared" si="309"/>
        <v>177654.48267</v>
      </c>
      <c r="EI50" s="47">
        <f t="shared" si="309"/>
        <v>71847.782859999992</v>
      </c>
      <c r="EJ50" s="45">
        <f t="shared" si="309"/>
        <v>195772.11609999998</v>
      </c>
      <c r="EK50" s="47">
        <f t="shared" si="309"/>
        <v>80077.823999999993</v>
      </c>
      <c r="EL50" s="46">
        <f t="shared" si="309"/>
        <v>217493.87023</v>
      </c>
      <c r="EM50" s="49">
        <f t="shared" si="309"/>
        <v>87206.433450000011</v>
      </c>
      <c r="EN50" s="46">
        <f t="shared" ref="EN50:EO50" si="310">EN52+EN54</f>
        <v>242751.74097999997</v>
      </c>
      <c r="EO50" s="49">
        <f t="shared" si="310"/>
        <v>95569.317139999999</v>
      </c>
      <c r="EP50" s="46">
        <f t="shared" ref="EP50:EQ50" si="311">EP52+EP54</f>
        <v>18323.396119999998</v>
      </c>
      <c r="EQ50" s="49">
        <f t="shared" si="311"/>
        <v>8298.2185100000006</v>
      </c>
      <c r="ER50" s="46">
        <f t="shared" ref="ER50:ES50" si="312">ER52+ER54</f>
        <v>49640.55949</v>
      </c>
      <c r="ES50" s="49">
        <f t="shared" si="312"/>
        <v>17923.35382</v>
      </c>
      <c r="ET50" s="46">
        <f t="shared" ref="ET50:EU50" si="313">ET52+ET54</f>
        <v>91553.607300000003</v>
      </c>
      <c r="EU50" s="49">
        <f t="shared" si="313"/>
        <v>24071.867689999999</v>
      </c>
      <c r="EV50" s="46">
        <f t="shared" ref="EV50:EW50" si="314">EV52+EV54</f>
        <v>125676.38940999999</v>
      </c>
      <c r="EW50" s="49">
        <f t="shared" si="314"/>
        <v>32099.746530000004</v>
      </c>
      <c r="EX50" s="46">
        <f t="shared" ref="EX50:EY50" si="315">EX52+EX54</f>
        <v>155767.65390999999</v>
      </c>
      <c r="EY50" s="49">
        <f t="shared" si="315"/>
        <v>41095.866170000008</v>
      </c>
      <c r="EZ50" s="46">
        <f t="shared" ref="EZ50:FA50" si="316">EZ52+EZ54</f>
        <v>178289.40106</v>
      </c>
      <c r="FA50" s="49">
        <f t="shared" si="316"/>
        <v>50207.821170000003</v>
      </c>
      <c r="FB50" s="46">
        <f t="shared" ref="FB50:FC50" si="317">FB52+FB54</f>
        <v>202513.69727999996</v>
      </c>
      <c r="FC50" s="49">
        <f t="shared" si="317"/>
        <v>61651.136419999995</v>
      </c>
      <c r="FD50" s="46">
        <f t="shared" ref="FD50:FE50" si="318">FD52+FD54</f>
        <v>227933.76619000002</v>
      </c>
      <c r="FE50" s="49">
        <f t="shared" si="318"/>
        <v>71657.742529999989</v>
      </c>
      <c r="FF50" s="46">
        <f t="shared" ref="FF50:FG50" si="319">FF52+FF54</f>
        <v>249863.48042999997</v>
      </c>
      <c r="FG50" s="49">
        <f t="shared" si="319"/>
        <v>80235.49688999998</v>
      </c>
      <c r="FH50" s="46">
        <f t="shared" ref="FH50:FI50" si="320">FH52+FH54</f>
        <v>270853.91370999999</v>
      </c>
      <c r="FI50" s="49">
        <f t="shared" si="320"/>
        <v>90472.030400000003</v>
      </c>
      <c r="FJ50" s="46">
        <f t="shared" ref="FJ50:FK50" si="321">FJ52+FJ54</f>
        <v>295634.78655999998</v>
      </c>
      <c r="FK50" s="49">
        <f t="shared" si="321"/>
        <v>99114.295469999997</v>
      </c>
      <c r="FL50" s="46">
        <f t="shared" ref="FL50:FM50" si="322">FL52+FL54</f>
        <v>334432.83226</v>
      </c>
      <c r="FM50" s="49">
        <f t="shared" si="322"/>
        <v>108072.42154999998</v>
      </c>
      <c r="FN50" s="46">
        <f t="shared" ref="FN50:FO50" si="323">FN52+FN54</f>
        <v>20806.944599999999</v>
      </c>
      <c r="FO50" s="49">
        <f t="shared" si="323"/>
        <v>8235.7165599999989</v>
      </c>
      <c r="FP50" s="46">
        <f t="shared" ref="FP50:FQ50" si="324">FP52+FP54</f>
        <v>48671.578589999997</v>
      </c>
      <c r="FQ50" s="49">
        <f t="shared" si="324"/>
        <v>17611.541770000003</v>
      </c>
      <c r="FR50" s="46">
        <f t="shared" ref="FR50:FS50" si="325">FR52+FR54</f>
        <v>94828.714189999999</v>
      </c>
      <c r="FS50" s="49">
        <f t="shared" si="325"/>
        <v>29190.895090000002</v>
      </c>
      <c r="FT50" s="46">
        <f t="shared" ref="FT50:FU50" si="326">FT52+FT54</f>
        <v>132439.75925</v>
      </c>
      <c r="FU50" s="49">
        <f t="shared" si="326"/>
        <v>42370.788370000002</v>
      </c>
      <c r="FV50" s="46">
        <f t="shared" ref="FV50:FW50" si="327">FV52+FV54</f>
        <v>161865.89754999999</v>
      </c>
      <c r="FW50" s="49">
        <f t="shared" si="327"/>
        <v>53976.300230000008</v>
      </c>
      <c r="FX50" s="46">
        <f t="shared" ref="FX50:FY50" si="328">FX52+FX54</f>
        <v>184097.79011</v>
      </c>
      <c r="FY50" s="49">
        <f t="shared" si="328"/>
        <v>61333.222630000004</v>
      </c>
      <c r="FZ50" s="46">
        <f t="shared" ref="FZ50:GA50" si="329">FZ52+FZ54</f>
        <v>209474.51175000001</v>
      </c>
      <c r="GA50" s="49">
        <f t="shared" si="329"/>
        <v>71810.69561000001</v>
      </c>
      <c r="GB50" s="46">
        <f t="shared" ref="GB50:GE50" si="330">GB52+GB54</f>
        <v>235272.74362999998</v>
      </c>
      <c r="GC50" s="49">
        <f t="shared" si="330"/>
        <v>83956.612259999994</v>
      </c>
      <c r="GD50" s="46">
        <f t="shared" si="330"/>
        <v>258278.56758999999</v>
      </c>
      <c r="GE50" s="49">
        <f t="shared" si="330"/>
        <v>98944.786680000005</v>
      </c>
      <c r="GF50" s="46">
        <f t="shared" ref="GF50:GG50" si="331">GF52+GF54</f>
        <v>282925.03862999997</v>
      </c>
      <c r="GG50" s="49">
        <f t="shared" si="331"/>
        <v>112045.51282</v>
      </c>
      <c r="GH50" s="46">
        <f t="shared" ref="GH50:GI50" si="332">GH52+GH54</f>
        <v>309607.88324</v>
      </c>
      <c r="GI50" s="49">
        <f t="shared" si="332"/>
        <v>125960.80951000001</v>
      </c>
      <c r="GJ50" s="46">
        <f t="shared" ref="GJ50:GK50" si="333">GJ52+GJ54</f>
        <v>341855.65119000006</v>
      </c>
      <c r="GK50" s="49">
        <f t="shared" si="333"/>
        <v>139695.84378</v>
      </c>
      <c r="GL50" s="46">
        <f t="shared" ref="GL50:GQ50" si="334">GL52+GL54</f>
        <v>23057.145369999998</v>
      </c>
      <c r="GM50" s="49">
        <f t="shared" si="334"/>
        <v>10103.972030000001</v>
      </c>
      <c r="GN50" s="46">
        <f t="shared" si="334"/>
        <v>61116.02205</v>
      </c>
      <c r="GO50" s="49">
        <f t="shared" si="334"/>
        <v>21228.420679999999</v>
      </c>
      <c r="GP50" s="46">
        <f t="shared" si="334"/>
        <v>91137.981620000064</v>
      </c>
      <c r="GQ50" s="49">
        <f t="shared" si="334"/>
        <v>29927.439519999996</v>
      </c>
      <c r="GR50" s="46">
        <f t="shared" ref="GR50:GS50" si="335">GR52+GR54</f>
        <v>136609.93744999997</v>
      </c>
      <c r="GS50" s="49">
        <f t="shared" si="335"/>
        <v>44276.75619</v>
      </c>
      <c r="GT50" s="46">
        <f t="shared" ref="GT50:GU50" si="336">GT52+GT54</f>
        <v>171228.27626000001</v>
      </c>
      <c r="GU50" s="49">
        <f t="shared" si="336"/>
        <v>57423.340700000008</v>
      </c>
      <c r="GV50" s="46">
        <f t="shared" ref="GV50:GW50" si="337">GV52+GV54</f>
        <v>194682.77546999999</v>
      </c>
      <c r="GW50" s="49">
        <f t="shared" si="337"/>
        <v>68325.456080000004</v>
      </c>
      <c r="GX50" s="46">
        <f t="shared" ref="GX50:GY50" si="338">GX52+GX54</f>
        <v>221356.69780000002</v>
      </c>
      <c r="GY50" s="49">
        <f t="shared" si="338"/>
        <v>80594.716530000005</v>
      </c>
      <c r="GZ50" s="46">
        <f t="shared" ref="GZ50:HA50" si="339">GZ52+GZ54</f>
        <v>249861.09913999998</v>
      </c>
      <c r="HA50" s="49">
        <f t="shared" si="339"/>
        <v>92674.686959999992</v>
      </c>
      <c r="HB50" s="46">
        <f t="shared" ref="HB50:HC50" si="340">HB52+HB54</f>
        <v>275409.85941000003</v>
      </c>
      <c r="HC50" s="49">
        <f t="shared" si="340"/>
        <v>105421.47751</v>
      </c>
      <c r="HD50" s="46">
        <f t="shared" ref="HD50:HE50" si="341">HD52+HD54</f>
        <v>301329.60365</v>
      </c>
      <c r="HE50" s="49">
        <f t="shared" si="341"/>
        <v>120840.5577</v>
      </c>
      <c r="HF50" s="46">
        <f t="shared" ref="HF50:HG50" si="342">HF52+HF54</f>
        <v>331339.01079000003</v>
      </c>
      <c r="HG50" s="49">
        <f t="shared" si="342"/>
        <v>131691.43502999999</v>
      </c>
      <c r="HH50" s="46">
        <f t="shared" ref="HH50:HI50" si="343">HH52+HH54</f>
        <v>365811.01168999996</v>
      </c>
      <c r="HI50" s="49">
        <f t="shared" si="343"/>
        <v>146570.78414999999</v>
      </c>
      <c r="HJ50" s="46">
        <f t="shared" ref="HJ50:HK50" si="344">HJ52+HJ54</f>
        <v>20147.735400000001</v>
      </c>
      <c r="HK50" s="49">
        <f t="shared" si="344"/>
        <v>11750.26238</v>
      </c>
      <c r="HL50" s="46">
        <f t="shared" ref="HL50:HM50" si="345">HL52+HL54</f>
        <v>43126.398030000004</v>
      </c>
      <c r="HM50" s="49">
        <f t="shared" si="345"/>
        <v>27027.81828</v>
      </c>
      <c r="HN50" s="46">
        <f t="shared" ref="HN50:HO50" si="346">HN52+HN54</f>
        <v>65475.628939999995</v>
      </c>
      <c r="HO50" s="49">
        <f t="shared" si="346"/>
        <v>38136.663430000001</v>
      </c>
      <c r="HP50" s="46">
        <f t="shared" ref="HP50:HQ50" si="347">HP52+HP54</f>
        <v>92213.328499999989</v>
      </c>
      <c r="HQ50" s="49">
        <f t="shared" si="347"/>
        <v>53710.341380000005</v>
      </c>
      <c r="HR50" s="46">
        <f t="shared" ref="HR50:HS50" si="348">HR52+HR54</f>
        <v>118077.78301</v>
      </c>
      <c r="HS50" s="49">
        <f t="shared" si="348"/>
        <v>65953.512690000003</v>
      </c>
      <c r="HT50" s="46">
        <f t="shared" ref="HT50:HU50" si="349">HT52+HT54</f>
        <v>149673.75455000001</v>
      </c>
      <c r="HU50" s="49">
        <f t="shared" si="349"/>
        <v>79679.049970000007</v>
      </c>
      <c r="HV50" s="46">
        <f t="shared" ref="HV50:HW50" si="350">HV52+HV54</f>
        <v>183360.43066999997</v>
      </c>
      <c r="HW50" s="49">
        <f t="shared" si="350"/>
        <v>95162.497560000003</v>
      </c>
      <c r="HX50" s="46">
        <f t="shared" ref="HX50:HY50" si="351">HX52+HX54</f>
        <v>213491.81858999998</v>
      </c>
      <c r="HY50" s="49">
        <f t="shared" si="351"/>
        <v>110662.23085000002</v>
      </c>
      <c r="HZ50" s="46">
        <f t="shared" ref="HZ50:IA50" si="352">HZ52+HZ54</f>
        <v>255611.14524000001</v>
      </c>
      <c r="IA50" s="49">
        <f t="shared" si="352"/>
        <v>125786.2185</v>
      </c>
      <c r="IB50" s="14" t="s">
        <v>92</v>
      </c>
    </row>
    <row r="51" spans="1:240" s="9" customFormat="1" ht="22.5" customHeight="1" x14ac:dyDescent="0.35">
      <c r="A51" s="13" t="s">
        <v>33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5"/>
      <c r="DR51" s="46"/>
      <c r="DS51" s="47"/>
      <c r="DT51" s="48"/>
      <c r="DU51" s="45"/>
      <c r="DV51" s="46"/>
      <c r="DW51" s="47"/>
      <c r="DX51" s="48"/>
      <c r="DY51" s="45"/>
      <c r="DZ51" s="46"/>
      <c r="EA51" s="47"/>
      <c r="EB51" s="48"/>
      <c r="EC51" s="45"/>
      <c r="ED51" s="46"/>
      <c r="EE51" s="47"/>
      <c r="EF51" s="46"/>
      <c r="EG51" s="47"/>
      <c r="EH51" s="48"/>
      <c r="EI51" s="47"/>
      <c r="EJ51" s="48"/>
      <c r="EK51" s="47"/>
      <c r="EL51" s="46"/>
      <c r="EM51" s="49"/>
      <c r="EN51" s="46"/>
      <c r="EO51" s="49"/>
      <c r="EP51" s="46"/>
      <c r="EQ51" s="49"/>
      <c r="ER51" s="46"/>
      <c r="ES51" s="49"/>
      <c r="ET51" s="46"/>
      <c r="EU51" s="49"/>
      <c r="EV51" s="46"/>
      <c r="EW51" s="49"/>
      <c r="EX51" s="46"/>
      <c r="EY51" s="49"/>
      <c r="EZ51" s="46"/>
      <c r="FA51" s="49"/>
      <c r="FB51" s="46"/>
      <c r="FC51" s="49"/>
      <c r="FD51" s="46"/>
      <c r="FE51" s="49"/>
      <c r="FF51" s="46"/>
      <c r="FG51" s="49"/>
      <c r="FH51" s="46"/>
      <c r="FI51" s="49"/>
      <c r="FJ51" s="46"/>
      <c r="FK51" s="49"/>
      <c r="FL51" s="46"/>
      <c r="FM51" s="49"/>
      <c r="FN51" s="46"/>
      <c r="FO51" s="49"/>
      <c r="FP51" s="46"/>
      <c r="FQ51" s="49"/>
      <c r="FR51" s="46"/>
      <c r="FS51" s="49"/>
      <c r="FT51" s="46"/>
      <c r="FU51" s="49"/>
      <c r="FV51" s="46"/>
      <c r="FW51" s="49"/>
      <c r="FX51" s="46"/>
      <c r="FY51" s="49"/>
      <c r="FZ51" s="46"/>
      <c r="GA51" s="49"/>
      <c r="GB51" s="46"/>
      <c r="GC51" s="49"/>
      <c r="GD51" s="46"/>
      <c r="GE51" s="49"/>
      <c r="GF51" s="46"/>
      <c r="GG51" s="49"/>
      <c r="GH51" s="46"/>
      <c r="GI51" s="49"/>
      <c r="GJ51" s="46"/>
      <c r="GK51" s="49"/>
      <c r="GL51" s="46"/>
      <c r="GM51" s="49"/>
      <c r="GN51" s="46"/>
      <c r="GO51" s="49"/>
      <c r="GP51" s="46"/>
      <c r="GQ51" s="49"/>
      <c r="GR51" s="46"/>
      <c r="GS51" s="49"/>
      <c r="GT51" s="46"/>
      <c r="GU51" s="49"/>
      <c r="GV51" s="46"/>
      <c r="GW51" s="49"/>
      <c r="GX51" s="46"/>
      <c r="GY51" s="49"/>
      <c r="GZ51" s="46"/>
      <c r="HA51" s="49"/>
      <c r="HB51" s="46"/>
      <c r="HC51" s="49"/>
      <c r="HD51" s="46"/>
      <c r="HE51" s="49"/>
      <c r="HF51" s="46"/>
      <c r="HG51" s="49"/>
      <c r="HH51" s="46"/>
      <c r="HI51" s="49"/>
      <c r="HJ51" s="46"/>
      <c r="HK51" s="49"/>
      <c r="HL51" s="46"/>
      <c r="HM51" s="49"/>
      <c r="HN51" s="46"/>
      <c r="HO51" s="49"/>
      <c r="HP51" s="46"/>
      <c r="HQ51" s="49"/>
      <c r="HR51" s="46"/>
      <c r="HS51" s="49"/>
      <c r="HT51" s="46"/>
      <c r="HU51" s="49"/>
      <c r="HV51" s="46"/>
      <c r="HW51" s="49"/>
      <c r="HX51" s="46"/>
      <c r="HY51" s="49"/>
      <c r="HZ51" s="46"/>
      <c r="IA51" s="49"/>
      <c r="IB51" s="13" t="s">
        <v>108</v>
      </c>
    </row>
    <row r="52" spans="1:240" s="9" customFormat="1" ht="22.5" customHeight="1" x14ac:dyDescent="0.4">
      <c r="A52" s="14" t="s">
        <v>93</v>
      </c>
      <c r="B52" s="44">
        <v>1857.77838</v>
      </c>
      <c r="C52" s="44">
        <v>380.69627000000003</v>
      </c>
      <c r="D52" s="44">
        <v>5184.7249499999998</v>
      </c>
      <c r="E52" s="44">
        <v>643.76015000000007</v>
      </c>
      <c r="F52" s="44">
        <v>10398.921890000001</v>
      </c>
      <c r="G52" s="44">
        <v>784.67268999999999</v>
      </c>
      <c r="H52" s="44">
        <v>14742.03096</v>
      </c>
      <c r="I52" s="44">
        <v>1017.6463199999999</v>
      </c>
      <c r="J52" s="44">
        <v>17863.037640000002</v>
      </c>
      <c r="K52" s="44">
        <v>1178.44497</v>
      </c>
      <c r="L52" s="44">
        <v>19623.232550000001</v>
      </c>
      <c r="M52" s="44">
        <v>1328.4916599999999</v>
      </c>
      <c r="N52" s="44">
        <v>21595.47652</v>
      </c>
      <c r="O52" s="44">
        <v>1410.27367</v>
      </c>
      <c r="P52" s="44">
        <v>26444.111519999999</v>
      </c>
      <c r="Q52" s="44">
        <v>1789.8103799999999</v>
      </c>
      <c r="R52" s="44">
        <v>28332.021570000001</v>
      </c>
      <c r="S52" s="44">
        <v>2220.00072</v>
      </c>
      <c r="T52" s="44">
        <v>28809.417450000001</v>
      </c>
      <c r="U52" s="44">
        <v>2632.1212599999999</v>
      </c>
      <c r="V52" s="44">
        <v>30991.34737</v>
      </c>
      <c r="W52" s="44">
        <v>2936.34798</v>
      </c>
      <c r="X52" s="44">
        <v>33165.399010000001</v>
      </c>
      <c r="Y52" s="44">
        <v>4226.4021600000005</v>
      </c>
      <c r="Z52" s="44">
        <v>1766.98253</v>
      </c>
      <c r="AA52" s="44">
        <v>446.70267999999999</v>
      </c>
      <c r="AB52" s="44">
        <v>4695.32359</v>
      </c>
      <c r="AC52" s="44">
        <v>680.34456999999998</v>
      </c>
      <c r="AD52" s="44">
        <v>8407.9825000000001</v>
      </c>
      <c r="AE52" s="44">
        <v>1246.0236</v>
      </c>
      <c r="AF52" s="44">
        <v>15884.591369999998</v>
      </c>
      <c r="AG52" s="44">
        <v>1357.6698999999999</v>
      </c>
      <c r="AH52" s="44">
        <v>19821</v>
      </c>
      <c r="AI52" s="44">
        <v>1670.81835</v>
      </c>
      <c r="AJ52" s="44">
        <v>21299.788769999999</v>
      </c>
      <c r="AK52" s="44">
        <v>1828.75317</v>
      </c>
      <c r="AL52" s="44">
        <v>23776.973760000001</v>
      </c>
      <c r="AM52" s="44">
        <v>2044.2250800000002</v>
      </c>
      <c r="AN52" s="44">
        <v>27956.655420000003</v>
      </c>
      <c r="AO52" s="44">
        <v>2240.0262499999999</v>
      </c>
      <c r="AP52" s="44">
        <v>27996.074489999999</v>
      </c>
      <c r="AQ52" s="44">
        <v>2360.2711200000003</v>
      </c>
      <c r="AR52" s="44">
        <v>30243.701649999999</v>
      </c>
      <c r="AS52" s="44">
        <v>2597.1868799999997</v>
      </c>
      <c r="AT52" s="44">
        <v>33039.02691</v>
      </c>
      <c r="AU52" s="44">
        <v>2812.6219799999999</v>
      </c>
      <c r="AV52" s="44">
        <v>35292.506849999998</v>
      </c>
      <c r="AW52" s="44">
        <v>3136.0500099999999</v>
      </c>
      <c r="AX52" s="44">
        <v>2242.2412000000004</v>
      </c>
      <c r="AY52" s="44">
        <v>390.03515999999996</v>
      </c>
      <c r="AZ52" s="44">
        <v>6258.4051900000004</v>
      </c>
      <c r="BA52" s="44">
        <v>556.03165000000001</v>
      </c>
      <c r="BB52" s="44">
        <v>13021.29091</v>
      </c>
      <c r="BC52" s="44">
        <v>661.76459999999997</v>
      </c>
      <c r="BD52" s="44">
        <v>18088.325710000001</v>
      </c>
      <c r="BE52" s="44">
        <v>713.69623999999999</v>
      </c>
      <c r="BF52" s="44">
        <v>23311.043000000001</v>
      </c>
      <c r="BG52" s="44">
        <v>961.70709999999997</v>
      </c>
      <c r="BH52" s="44">
        <v>25413.85713</v>
      </c>
      <c r="BI52" s="44">
        <v>1319.20146</v>
      </c>
      <c r="BJ52" s="44">
        <v>27771.812519999999</v>
      </c>
      <c r="BK52" s="44">
        <v>1513.18623</v>
      </c>
      <c r="BL52" s="44">
        <v>31824.89906</v>
      </c>
      <c r="BM52" s="44">
        <v>1777.88491</v>
      </c>
      <c r="BN52" s="44">
        <v>36057.539840000005</v>
      </c>
      <c r="BO52" s="44">
        <v>2031.65771</v>
      </c>
      <c r="BP52" s="44">
        <v>38268.400119999998</v>
      </c>
      <c r="BQ52" s="44">
        <v>2434.4777899999999</v>
      </c>
      <c r="BR52" s="44">
        <v>42428.039189999996</v>
      </c>
      <c r="BS52" s="44">
        <v>2755.18759</v>
      </c>
      <c r="BT52" s="44">
        <v>48112.869840000007</v>
      </c>
      <c r="BU52" s="44">
        <v>3100.6751899999999</v>
      </c>
      <c r="BV52" s="44">
        <v>2584.4939800000002</v>
      </c>
      <c r="BW52" s="44">
        <v>221.50744</v>
      </c>
      <c r="BX52" s="44">
        <v>7676.10646</v>
      </c>
      <c r="BY52" s="44">
        <v>415.99736999999999</v>
      </c>
      <c r="BZ52" s="44">
        <v>11193.886480000001</v>
      </c>
      <c r="CA52" s="44">
        <v>603.65324999999996</v>
      </c>
      <c r="CB52" s="44">
        <v>21772.267629999998</v>
      </c>
      <c r="CC52" s="44">
        <v>703.04147</v>
      </c>
      <c r="CD52" s="44">
        <v>26992.49482</v>
      </c>
      <c r="CE52" s="44">
        <v>811.83368000000007</v>
      </c>
      <c r="CF52" s="44">
        <v>30122.05589</v>
      </c>
      <c r="CG52" s="44">
        <v>1082.4506200000001</v>
      </c>
      <c r="CH52" s="44">
        <v>33277.516000000003</v>
      </c>
      <c r="CI52" s="44">
        <v>1244.35508</v>
      </c>
      <c r="CJ52" s="44">
        <v>37939.255960000002</v>
      </c>
      <c r="CK52" s="44">
        <v>1376.8395700000001</v>
      </c>
      <c r="CL52" s="44">
        <v>41937.675409999996</v>
      </c>
      <c r="CM52" s="44">
        <v>1801.14436</v>
      </c>
      <c r="CN52" s="44">
        <v>45296.051719999996</v>
      </c>
      <c r="CO52" s="44">
        <v>2083.6031499999999</v>
      </c>
      <c r="CP52" s="44">
        <v>49668.259359999996</v>
      </c>
      <c r="CQ52" s="44">
        <v>2263.5610499999998</v>
      </c>
      <c r="CR52" s="44">
        <v>53949.731420000004</v>
      </c>
      <c r="CS52" s="44">
        <v>2558.7546600000001</v>
      </c>
      <c r="CT52" s="44">
        <v>3637.3295200000002</v>
      </c>
      <c r="CU52" s="44">
        <v>390.18022999999999</v>
      </c>
      <c r="CV52" s="44">
        <v>9939.4603599999991</v>
      </c>
      <c r="CW52" s="44">
        <v>864.30764999999997</v>
      </c>
      <c r="CX52" s="44">
        <v>14877.09816</v>
      </c>
      <c r="CY52" s="44">
        <v>1132.1251399999999</v>
      </c>
      <c r="CZ52" s="44">
        <v>26074.87457</v>
      </c>
      <c r="DA52" s="44">
        <v>1476.3040000000001</v>
      </c>
      <c r="DB52" s="44">
        <v>31749.670750000001</v>
      </c>
      <c r="DC52" s="44">
        <v>1696.31691</v>
      </c>
      <c r="DD52" s="44">
        <v>35012.79045</v>
      </c>
      <c r="DE52" s="44">
        <v>2004.76954</v>
      </c>
      <c r="DF52" s="44">
        <v>38899.940299999995</v>
      </c>
      <c r="DG52" s="44">
        <v>2318.60484</v>
      </c>
      <c r="DH52" s="44">
        <v>43400.433819999998</v>
      </c>
      <c r="DI52" s="44">
        <v>2411.46722</v>
      </c>
      <c r="DJ52" s="44">
        <v>48551.95319</v>
      </c>
      <c r="DK52" s="44">
        <v>3154.3179700000001</v>
      </c>
      <c r="DL52" s="44">
        <v>52035.665760000004</v>
      </c>
      <c r="DM52" s="44">
        <v>3388.6383799999999</v>
      </c>
      <c r="DN52" s="44">
        <v>57509.16865</v>
      </c>
      <c r="DO52" s="44">
        <v>3647.80474</v>
      </c>
      <c r="DP52" s="44">
        <v>63506.324000000001</v>
      </c>
      <c r="DQ52" s="45">
        <v>4071.64723</v>
      </c>
      <c r="DR52" s="46">
        <v>4534.9335799999999</v>
      </c>
      <c r="DS52" s="57">
        <v>160.94218000000001</v>
      </c>
      <c r="DT52" s="60">
        <v>11643.05119</v>
      </c>
      <c r="DU52" s="61">
        <v>448.67756000000003</v>
      </c>
      <c r="DV52" s="56">
        <v>17066.41906</v>
      </c>
      <c r="DW52" s="58">
        <v>795.18426999999997</v>
      </c>
      <c r="DX52" s="60">
        <v>30210.41203</v>
      </c>
      <c r="DY52" s="61">
        <v>1226.75217</v>
      </c>
      <c r="DZ52" s="56">
        <v>36385.771549999998</v>
      </c>
      <c r="EA52" s="57">
        <v>1473.45849</v>
      </c>
      <c r="EB52" s="48">
        <v>40345.455379999999</v>
      </c>
      <c r="EC52" s="45">
        <v>1765.6340399999999</v>
      </c>
      <c r="ED52" s="46">
        <v>45141.624940000002</v>
      </c>
      <c r="EE52" s="47">
        <v>2237.4398700000002</v>
      </c>
      <c r="EF52" s="46">
        <v>49435.391450000003</v>
      </c>
      <c r="EG52" s="47">
        <v>2422.5545900000002</v>
      </c>
      <c r="EH52" s="48">
        <v>53150.749790000002</v>
      </c>
      <c r="EI52" s="47">
        <v>2660.9251199999999</v>
      </c>
      <c r="EJ52" s="48">
        <v>58128.921269999999</v>
      </c>
      <c r="EK52" s="47">
        <v>2864.8000699999998</v>
      </c>
      <c r="EL52" s="46">
        <v>65181.989280000002</v>
      </c>
      <c r="EM52" s="49">
        <v>3168.5146300000001</v>
      </c>
      <c r="EN52" s="46">
        <v>73895.230039999995</v>
      </c>
      <c r="EO52" s="49">
        <v>3407.7069200000001</v>
      </c>
      <c r="EP52" s="46">
        <v>4377.0246799999995</v>
      </c>
      <c r="EQ52" s="49">
        <v>178.58770999999999</v>
      </c>
      <c r="ER52" s="46">
        <v>12523.79658</v>
      </c>
      <c r="ES52" s="49">
        <v>382.78298999999998</v>
      </c>
      <c r="ET52" s="46">
        <v>19098.258819999999</v>
      </c>
      <c r="EU52" s="49">
        <v>531.18575999999996</v>
      </c>
      <c r="EV52" s="46">
        <v>30316.60367</v>
      </c>
      <c r="EW52" s="49">
        <v>650.95100000000002</v>
      </c>
      <c r="EX52" s="46">
        <v>39258.417820000002</v>
      </c>
      <c r="EY52" s="49">
        <v>871.55200000000002</v>
      </c>
      <c r="EZ52" s="46">
        <v>44484.572240000001</v>
      </c>
      <c r="FA52" s="49">
        <v>1270.34319</v>
      </c>
      <c r="FB52" s="46">
        <v>50075.744930000001</v>
      </c>
      <c r="FC52" s="49">
        <v>1477.27046</v>
      </c>
      <c r="FD52" s="46">
        <v>55956.225259999999</v>
      </c>
      <c r="FE52" s="49">
        <v>1855.7573500000001</v>
      </c>
      <c r="FF52" s="46">
        <v>60652.01528</v>
      </c>
      <c r="FG52" s="49">
        <v>2410.4063799999999</v>
      </c>
      <c r="FH52" s="46">
        <v>66081.410759999999</v>
      </c>
      <c r="FI52" s="49">
        <v>3016.6682999999998</v>
      </c>
      <c r="FJ52" s="46">
        <v>74100.832899999994</v>
      </c>
      <c r="FK52" s="49">
        <v>3452.6973699999999</v>
      </c>
      <c r="FL52" s="46">
        <v>84041.06826</v>
      </c>
      <c r="FM52" s="49">
        <v>3943.0880200000001</v>
      </c>
      <c r="FN52" s="46">
        <v>4839.5582800000002</v>
      </c>
      <c r="FO52" s="49">
        <v>205.82252</v>
      </c>
      <c r="FP52" s="46">
        <v>13673.9948</v>
      </c>
      <c r="FQ52" s="49">
        <v>580.51437999999996</v>
      </c>
      <c r="FR52" s="46">
        <v>20598.960729999999</v>
      </c>
      <c r="FS52" s="49">
        <v>750.74090999999999</v>
      </c>
      <c r="FT52" s="46">
        <v>33322.148289999997</v>
      </c>
      <c r="FU52" s="49">
        <v>1026.8655799999999</v>
      </c>
      <c r="FV52" s="46">
        <v>42014.223229999996</v>
      </c>
      <c r="FW52" s="49">
        <v>1473.6891000000001</v>
      </c>
      <c r="FX52" s="46">
        <v>47309.76586</v>
      </c>
      <c r="FY52" s="49">
        <v>1875.95596</v>
      </c>
      <c r="FZ52" s="46">
        <v>53327.905180000002</v>
      </c>
      <c r="GA52" s="49">
        <v>2186.6874200000002</v>
      </c>
      <c r="GB52" s="46">
        <v>60092.46602</v>
      </c>
      <c r="GC52" s="49">
        <v>2423.2849700000002</v>
      </c>
      <c r="GD52" s="46">
        <v>64912.607069999998</v>
      </c>
      <c r="GE52" s="49">
        <v>3169.7676099999999</v>
      </c>
      <c r="GF52" s="46">
        <v>70138.956279999999</v>
      </c>
      <c r="GG52" s="49">
        <v>3703.77531</v>
      </c>
      <c r="GH52" s="46">
        <v>79293.605989999996</v>
      </c>
      <c r="GI52" s="49">
        <v>4204.5958600000004</v>
      </c>
      <c r="GJ52" s="46">
        <v>90179.571890000007</v>
      </c>
      <c r="GK52" s="49">
        <v>5780.8344200000001</v>
      </c>
      <c r="GL52" s="46">
        <v>6275.1247199999998</v>
      </c>
      <c r="GM52" s="49">
        <v>375.27100999999999</v>
      </c>
      <c r="GN52" s="46">
        <v>16414.738789999999</v>
      </c>
      <c r="GO52" s="49">
        <v>683.82899999999995</v>
      </c>
      <c r="GP52" s="46">
        <v>24152.963969999997</v>
      </c>
      <c r="GQ52" s="49">
        <v>1025.63816</v>
      </c>
      <c r="GR52" s="46">
        <v>37558.179459999999</v>
      </c>
      <c r="GS52" s="49">
        <v>1619.1244099999999</v>
      </c>
      <c r="GT52" s="46">
        <v>47080.552819999997</v>
      </c>
      <c r="GU52" s="49">
        <v>2252.7411699999998</v>
      </c>
      <c r="GV52" s="46">
        <v>52881.039620000003</v>
      </c>
      <c r="GW52" s="49">
        <v>2683.4021299999999</v>
      </c>
      <c r="GX52" s="46">
        <v>59024.341899999999</v>
      </c>
      <c r="GY52" s="49">
        <v>3383.17877</v>
      </c>
      <c r="GZ52" s="46">
        <v>66986.183929999999</v>
      </c>
      <c r="HA52" s="49">
        <v>3603.3662599999998</v>
      </c>
      <c r="HB52" s="46">
        <v>71811.324120000005</v>
      </c>
      <c r="HC52" s="49">
        <v>4231.94686</v>
      </c>
      <c r="HD52" s="46">
        <v>78613.28542</v>
      </c>
      <c r="HE52" s="49">
        <v>4987.3415299999997</v>
      </c>
      <c r="HF52" s="46">
        <v>90656.70349</v>
      </c>
      <c r="HG52" s="49">
        <v>5541.9342900000001</v>
      </c>
      <c r="HH52" s="46">
        <v>101519.34576</v>
      </c>
      <c r="HI52" s="49">
        <v>5953.2136</v>
      </c>
      <c r="HJ52" s="46">
        <v>3569.4174499999999</v>
      </c>
      <c r="HK52" s="49">
        <v>246.53873999999999</v>
      </c>
      <c r="HL52" s="46">
        <v>10922.766610000001</v>
      </c>
      <c r="HM52" s="49">
        <v>384.66298</v>
      </c>
      <c r="HN52" s="46">
        <v>17076.052070000002</v>
      </c>
      <c r="HO52" s="49">
        <v>646.88684999999998</v>
      </c>
      <c r="HP52" s="46">
        <v>22795.030589999998</v>
      </c>
      <c r="HQ52" s="49">
        <v>960.14400000000001</v>
      </c>
      <c r="HR52" s="46">
        <v>28545.653330000001</v>
      </c>
      <c r="HS52" s="49">
        <v>1129.8525299999999</v>
      </c>
      <c r="HT52" s="46">
        <v>33814.688979999999</v>
      </c>
      <c r="HU52" s="49">
        <v>1485.8280199999999</v>
      </c>
      <c r="HV52" s="46">
        <v>37867.333939999997</v>
      </c>
      <c r="HW52" s="49">
        <v>2010.2605900000001</v>
      </c>
      <c r="HX52" s="46">
        <v>42150.576009999997</v>
      </c>
      <c r="HY52" s="49">
        <v>2856.48135</v>
      </c>
      <c r="HZ52" s="46">
        <v>46730.604639999998</v>
      </c>
      <c r="IA52" s="49">
        <v>3101.7108400000002</v>
      </c>
      <c r="IB52" s="14" t="s">
        <v>94</v>
      </c>
      <c r="ID52" s="81"/>
    </row>
    <row r="53" spans="1:240" s="9" customFormat="1" ht="63" x14ac:dyDescent="0.4">
      <c r="A53" s="15" t="s">
        <v>95</v>
      </c>
      <c r="B53" s="50">
        <v>1857.77838</v>
      </c>
      <c r="C53" s="50">
        <v>380.69627000000003</v>
      </c>
      <c r="D53" s="50">
        <v>5184.7249499999998</v>
      </c>
      <c r="E53" s="50">
        <v>643.76015000000007</v>
      </c>
      <c r="F53" s="50">
        <v>10398.921890000001</v>
      </c>
      <c r="G53" s="50">
        <v>784.67268999999999</v>
      </c>
      <c r="H53" s="50">
        <v>14742.03096</v>
      </c>
      <c r="I53" s="50">
        <v>1017.6463199999999</v>
      </c>
      <c r="J53" s="50">
        <v>17863.037640000002</v>
      </c>
      <c r="K53" s="50">
        <v>1178.44497</v>
      </c>
      <c r="L53" s="50">
        <v>19623.232550000001</v>
      </c>
      <c r="M53" s="50">
        <v>1328.4916599999999</v>
      </c>
      <c r="N53" s="50">
        <v>21595.47652</v>
      </c>
      <c r="O53" s="50">
        <v>1410.27367</v>
      </c>
      <c r="P53" s="50">
        <v>26444.111519999999</v>
      </c>
      <c r="Q53" s="50">
        <v>1789.8103799999999</v>
      </c>
      <c r="R53" s="50">
        <v>28332.021570000001</v>
      </c>
      <c r="S53" s="50">
        <v>2220.00072</v>
      </c>
      <c r="T53" s="50">
        <v>28809.417450000001</v>
      </c>
      <c r="U53" s="50">
        <v>2632.1212599999999</v>
      </c>
      <c r="V53" s="50">
        <v>30991.34737</v>
      </c>
      <c r="W53" s="50">
        <v>2936.34798</v>
      </c>
      <c r="X53" s="50">
        <v>33165.399010000001</v>
      </c>
      <c r="Y53" s="50">
        <v>4226.4021600000005</v>
      </c>
      <c r="Z53" s="50">
        <v>1766.98253</v>
      </c>
      <c r="AA53" s="50">
        <v>446.70267999999999</v>
      </c>
      <c r="AB53" s="50">
        <v>4695.32359</v>
      </c>
      <c r="AC53" s="50">
        <v>680.34456999999998</v>
      </c>
      <c r="AD53" s="50">
        <v>8407.9824800000006</v>
      </c>
      <c r="AE53" s="50">
        <v>1246.0235700000001</v>
      </c>
      <c r="AF53" s="50">
        <v>15884.591369999998</v>
      </c>
      <c r="AG53" s="50">
        <v>1357.6698999999999</v>
      </c>
      <c r="AH53" s="50">
        <v>19821</v>
      </c>
      <c r="AI53" s="50">
        <v>1670.81835</v>
      </c>
      <c r="AJ53" s="50">
        <v>21299.788769999999</v>
      </c>
      <c r="AK53" s="50">
        <v>1828.75317</v>
      </c>
      <c r="AL53" s="50">
        <v>23776.973760000001</v>
      </c>
      <c r="AM53" s="50">
        <v>2044.2250800000002</v>
      </c>
      <c r="AN53" s="50">
        <v>27956.655420000003</v>
      </c>
      <c r="AO53" s="50">
        <v>2240.0262499999999</v>
      </c>
      <c r="AP53" s="50">
        <v>27996.074489999999</v>
      </c>
      <c r="AQ53" s="50">
        <v>2360.2711200000003</v>
      </c>
      <c r="AR53" s="50">
        <v>30243.701649999999</v>
      </c>
      <c r="AS53" s="50">
        <v>2597.1868799999997</v>
      </c>
      <c r="AT53" s="50">
        <v>33039.02691</v>
      </c>
      <c r="AU53" s="50">
        <v>2812.6219799999999</v>
      </c>
      <c r="AV53" s="50">
        <v>35292.506849999998</v>
      </c>
      <c r="AW53" s="50">
        <v>3136.0500099999999</v>
      </c>
      <c r="AX53" s="50">
        <v>2242.2412000000004</v>
      </c>
      <c r="AY53" s="50">
        <v>390.03515999999996</v>
      </c>
      <c r="AZ53" s="50">
        <v>6258.4051900000004</v>
      </c>
      <c r="BA53" s="50">
        <v>556.03165000000001</v>
      </c>
      <c r="BB53" s="50">
        <v>13021.29091</v>
      </c>
      <c r="BC53" s="50">
        <v>661.76459999999997</v>
      </c>
      <c r="BD53" s="50">
        <v>18088.325710000001</v>
      </c>
      <c r="BE53" s="50">
        <v>713.69623999999999</v>
      </c>
      <c r="BF53" s="50">
        <v>23311.043000000001</v>
      </c>
      <c r="BG53" s="50">
        <v>961.70709999999997</v>
      </c>
      <c r="BH53" s="50">
        <v>25413.85713</v>
      </c>
      <c r="BI53" s="50">
        <v>1319.20146</v>
      </c>
      <c r="BJ53" s="50">
        <v>27771.812519999999</v>
      </c>
      <c r="BK53" s="50">
        <v>1513.18623</v>
      </c>
      <c r="BL53" s="50">
        <v>31824.89906</v>
      </c>
      <c r="BM53" s="50">
        <v>1777.88491</v>
      </c>
      <c r="BN53" s="50">
        <v>36057.539840000005</v>
      </c>
      <c r="BO53" s="50">
        <v>2031.65771</v>
      </c>
      <c r="BP53" s="50">
        <v>38268.400119999998</v>
      </c>
      <c r="BQ53" s="50">
        <v>2434.4777899999999</v>
      </c>
      <c r="BR53" s="50">
        <v>42428.039189999996</v>
      </c>
      <c r="BS53" s="50">
        <v>2755.18759</v>
      </c>
      <c r="BT53" s="50">
        <v>48112.869840000007</v>
      </c>
      <c r="BU53" s="50">
        <v>3100.6751899999999</v>
      </c>
      <c r="BV53" s="50">
        <v>2584.4939800000002</v>
      </c>
      <c r="BW53" s="50">
        <v>221.50744</v>
      </c>
      <c r="BX53" s="50">
        <v>7676.10646</v>
      </c>
      <c r="BY53" s="50">
        <v>415.99736999999999</v>
      </c>
      <c r="BZ53" s="50">
        <v>11193.886480000001</v>
      </c>
      <c r="CA53" s="50">
        <v>603.65324999999996</v>
      </c>
      <c r="CB53" s="50">
        <v>21772.267629999998</v>
      </c>
      <c r="CC53" s="50">
        <v>703.04147</v>
      </c>
      <c r="CD53" s="50">
        <v>26992.49482</v>
      </c>
      <c r="CE53" s="50">
        <v>811.83368000000007</v>
      </c>
      <c r="CF53" s="50">
        <v>30122.05589</v>
      </c>
      <c r="CG53" s="50">
        <v>1082.4506200000001</v>
      </c>
      <c r="CH53" s="50">
        <v>33277.516000000003</v>
      </c>
      <c r="CI53" s="50">
        <v>1244.35508</v>
      </c>
      <c r="CJ53" s="50">
        <v>37939.255960000002</v>
      </c>
      <c r="CK53" s="50">
        <v>1376.8395700000001</v>
      </c>
      <c r="CL53" s="50">
        <v>41937.675409999996</v>
      </c>
      <c r="CM53" s="50">
        <v>1801.14436</v>
      </c>
      <c r="CN53" s="50">
        <v>45296.051719999996</v>
      </c>
      <c r="CO53" s="50">
        <v>2083.6031499999999</v>
      </c>
      <c r="CP53" s="50">
        <v>49668.259359999996</v>
      </c>
      <c r="CQ53" s="50">
        <v>2263.5610499999998</v>
      </c>
      <c r="CR53" s="50">
        <v>53949.731420000004</v>
      </c>
      <c r="CS53" s="50">
        <v>2558.7546600000001</v>
      </c>
      <c r="CT53" s="50">
        <v>3637.3295200000002</v>
      </c>
      <c r="CU53" s="50">
        <v>390.18022999999999</v>
      </c>
      <c r="CV53" s="50">
        <v>9939.4603599999991</v>
      </c>
      <c r="CW53" s="50">
        <v>864.30764999999997</v>
      </c>
      <c r="CX53" s="50">
        <v>14877.09816</v>
      </c>
      <c r="CY53" s="50">
        <v>1132.1251399999999</v>
      </c>
      <c r="CZ53" s="50">
        <v>26074.87457</v>
      </c>
      <c r="DA53" s="50">
        <v>1476.3040000000001</v>
      </c>
      <c r="DB53" s="50">
        <v>31749.670750000001</v>
      </c>
      <c r="DC53" s="50">
        <v>1696.31691</v>
      </c>
      <c r="DD53" s="50">
        <v>35012.79045</v>
      </c>
      <c r="DE53" s="50">
        <v>2004.76954</v>
      </c>
      <c r="DF53" s="50">
        <v>38899.940299999995</v>
      </c>
      <c r="DG53" s="50">
        <v>2318.60484</v>
      </c>
      <c r="DH53" s="50">
        <v>43400.433819999998</v>
      </c>
      <c r="DI53" s="50">
        <v>2411.46722</v>
      </c>
      <c r="DJ53" s="50">
        <v>48551.95319</v>
      </c>
      <c r="DK53" s="50">
        <v>3154.3179700000001</v>
      </c>
      <c r="DL53" s="50">
        <v>52035.665760000004</v>
      </c>
      <c r="DM53" s="50">
        <v>3388.6383799999999</v>
      </c>
      <c r="DN53" s="50">
        <v>57509.16865</v>
      </c>
      <c r="DO53" s="50">
        <v>3647.80474</v>
      </c>
      <c r="DP53" s="50">
        <v>63506.324000000001</v>
      </c>
      <c r="DQ53" s="51">
        <v>4071.64723</v>
      </c>
      <c r="DR53" s="52">
        <v>4534.9335799999999</v>
      </c>
      <c r="DS53" s="58">
        <v>160.94218000000001</v>
      </c>
      <c r="DT53" s="62">
        <v>11643.05119</v>
      </c>
      <c r="DU53" s="63">
        <v>448.67756000000003</v>
      </c>
      <c r="DV53" s="59">
        <v>17066.41906</v>
      </c>
      <c r="DW53" s="58">
        <v>795.18426999999997</v>
      </c>
      <c r="DX53" s="62">
        <v>30210.41203</v>
      </c>
      <c r="DY53" s="63">
        <v>1226.75217</v>
      </c>
      <c r="DZ53" s="59">
        <v>36385.771549999998</v>
      </c>
      <c r="EA53" s="58">
        <v>1473.45849</v>
      </c>
      <c r="EB53" s="54">
        <v>40345.455379999999</v>
      </c>
      <c r="EC53" s="51">
        <v>1765.6340399999999</v>
      </c>
      <c r="ED53" s="52">
        <v>45141.624940000002</v>
      </c>
      <c r="EE53" s="53">
        <v>2237.4398700000002</v>
      </c>
      <c r="EF53" s="52">
        <v>49435.391450000003</v>
      </c>
      <c r="EG53" s="53">
        <v>2422.5545900000002</v>
      </c>
      <c r="EH53" s="54">
        <v>53150.749790000002</v>
      </c>
      <c r="EI53" s="53">
        <v>2660.9251199999999</v>
      </c>
      <c r="EJ53" s="54">
        <v>58128.921269999999</v>
      </c>
      <c r="EK53" s="53">
        <v>2864.8000699999998</v>
      </c>
      <c r="EL53" s="52">
        <v>65181.989280000002</v>
      </c>
      <c r="EM53" s="55">
        <v>3168.5146300000001</v>
      </c>
      <c r="EN53" s="52">
        <v>73895.230039999995</v>
      </c>
      <c r="EO53" s="55">
        <v>3407.7069200000001</v>
      </c>
      <c r="EP53" s="52">
        <v>4377.0246799999995</v>
      </c>
      <c r="EQ53" s="55">
        <v>178.58770999999999</v>
      </c>
      <c r="ER53" s="52">
        <v>12523.79658</v>
      </c>
      <c r="ES53" s="55">
        <v>382.78298999999998</v>
      </c>
      <c r="ET53" s="52">
        <v>19098.258819999999</v>
      </c>
      <c r="EU53" s="55">
        <v>531.18575999999996</v>
      </c>
      <c r="EV53" s="52">
        <v>30316.60367</v>
      </c>
      <c r="EW53" s="55">
        <v>650.95100000000002</v>
      </c>
      <c r="EX53" s="52">
        <v>39258.417820000002</v>
      </c>
      <c r="EY53" s="55">
        <v>871.55200000000002</v>
      </c>
      <c r="EZ53" s="52">
        <v>44484.572240000001</v>
      </c>
      <c r="FA53" s="55">
        <v>1270.34319</v>
      </c>
      <c r="FB53" s="52">
        <v>50075.744930000001</v>
      </c>
      <c r="FC53" s="55">
        <v>1477.27046</v>
      </c>
      <c r="FD53" s="52">
        <v>55956.225259999999</v>
      </c>
      <c r="FE53" s="55">
        <v>1855.7573500000001</v>
      </c>
      <c r="FF53" s="52">
        <v>60652.01528</v>
      </c>
      <c r="FG53" s="55">
        <v>2410.4063799999999</v>
      </c>
      <c r="FH53" s="52">
        <v>66081.410759999999</v>
      </c>
      <c r="FI53" s="55">
        <v>3016.6682999999998</v>
      </c>
      <c r="FJ53" s="52">
        <v>74100.832899999994</v>
      </c>
      <c r="FK53" s="55">
        <v>3452.6973699999999</v>
      </c>
      <c r="FL53" s="52">
        <v>84041.06826</v>
      </c>
      <c r="FM53" s="55">
        <v>3943.0880200000001</v>
      </c>
      <c r="FN53" s="52">
        <v>4839.5582800000002</v>
      </c>
      <c r="FO53" s="55">
        <v>205.82252</v>
      </c>
      <c r="FP53" s="52">
        <v>13673.9948</v>
      </c>
      <c r="FQ53" s="55">
        <v>580.51437999999996</v>
      </c>
      <c r="FR53" s="52">
        <v>20598.960729999999</v>
      </c>
      <c r="FS53" s="55">
        <v>750.74090999999999</v>
      </c>
      <c r="FT53" s="52">
        <v>33322.148289999997</v>
      </c>
      <c r="FU53" s="55">
        <v>1026.8655799999999</v>
      </c>
      <c r="FV53" s="52">
        <v>42014.223229999996</v>
      </c>
      <c r="FW53" s="55">
        <v>1473.6891000000001</v>
      </c>
      <c r="FX53" s="52">
        <v>47309.76586</v>
      </c>
      <c r="FY53" s="55">
        <v>1875.95596</v>
      </c>
      <c r="FZ53" s="52">
        <v>53327.905180000002</v>
      </c>
      <c r="GA53" s="55">
        <v>2186.6874200000002</v>
      </c>
      <c r="GB53" s="52">
        <v>60092.46602</v>
      </c>
      <c r="GC53" s="55">
        <v>2423.2849700000002</v>
      </c>
      <c r="GD53" s="52">
        <v>64912.607069999998</v>
      </c>
      <c r="GE53" s="55">
        <v>3169.7676099999999</v>
      </c>
      <c r="GF53" s="52">
        <v>70138.956279999999</v>
      </c>
      <c r="GG53" s="55">
        <v>3703.77531</v>
      </c>
      <c r="GH53" s="52">
        <v>79293.605989999996</v>
      </c>
      <c r="GI53" s="55">
        <v>4204.5958600000004</v>
      </c>
      <c r="GJ53" s="52">
        <v>90179.571890000007</v>
      </c>
      <c r="GK53" s="55">
        <v>5780.8344200000001</v>
      </c>
      <c r="GL53" s="52">
        <v>6275.1247199999998</v>
      </c>
      <c r="GM53" s="55">
        <v>375.27100999999999</v>
      </c>
      <c r="GN53" s="52">
        <v>16414.738789999999</v>
      </c>
      <c r="GO53" s="55">
        <v>683.82899999999995</v>
      </c>
      <c r="GP53" s="52">
        <v>24152.963969999997</v>
      </c>
      <c r="GQ53" s="55">
        <v>1025.63816</v>
      </c>
      <c r="GR53" s="52">
        <v>37558.179459999999</v>
      </c>
      <c r="GS53" s="55">
        <v>1619.1244099999999</v>
      </c>
      <c r="GT53" s="52">
        <v>47080.552819999997</v>
      </c>
      <c r="GU53" s="55">
        <v>2252.7411699999998</v>
      </c>
      <c r="GV53" s="52">
        <v>52881.039620000003</v>
      </c>
      <c r="GW53" s="55">
        <v>2683.4021299999999</v>
      </c>
      <c r="GX53" s="52">
        <v>59024.341899999999</v>
      </c>
      <c r="GY53" s="55">
        <v>3383.17877</v>
      </c>
      <c r="GZ53" s="52">
        <v>66986.183929999999</v>
      </c>
      <c r="HA53" s="55">
        <v>3603.3662599999998</v>
      </c>
      <c r="HB53" s="52">
        <v>71811.324120000005</v>
      </c>
      <c r="HC53" s="55">
        <v>4231.94686</v>
      </c>
      <c r="HD53" s="52">
        <v>78613.28542</v>
      </c>
      <c r="HE53" s="55">
        <v>4987.3415299999997</v>
      </c>
      <c r="HF53" s="52">
        <v>90656.70349</v>
      </c>
      <c r="HG53" s="55">
        <v>5541.9342900000001</v>
      </c>
      <c r="HH53" s="52">
        <v>101519.34576</v>
      </c>
      <c r="HI53" s="55">
        <v>5953.2136</v>
      </c>
      <c r="HJ53" s="52">
        <v>3569.4174499999999</v>
      </c>
      <c r="HK53" s="55">
        <v>246.53873999999999</v>
      </c>
      <c r="HL53" s="52">
        <v>10922.766610000001</v>
      </c>
      <c r="HM53" s="55">
        <v>384.66298</v>
      </c>
      <c r="HN53" s="52">
        <v>17076.052070000002</v>
      </c>
      <c r="HO53" s="55">
        <v>646.88684999999998</v>
      </c>
      <c r="HP53" s="52">
        <v>22795.030589999998</v>
      </c>
      <c r="HQ53" s="55">
        <v>960.14400000000001</v>
      </c>
      <c r="HR53" s="52">
        <v>28545.653330000001</v>
      </c>
      <c r="HS53" s="55">
        <v>1129.8525299999999</v>
      </c>
      <c r="HT53" s="52">
        <v>33814.688979999999</v>
      </c>
      <c r="HU53" s="55">
        <v>1485.8280199999999</v>
      </c>
      <c r="HV53" s="52">
        <v>37867.333939999997</v>
      </c>
      <c r="HW53" s="55">
        <v>2010.2605900000001</v>
      </c>
      <c r="HX53" s="52">
        <v>42150.576009999997</v>
      </c>
      <c r="HY53" s="55">
        <v>2856.48135</v>
      </c>
      <c r="HZ53" s="52">
        <v>46730.604639999998</v>
      </c>
      <c r="IA53" s="55">
        <v>3101.7108400000002</v>
      </c>
      <c r="IB53" s="16" t="s">
        <v>126</v>
      </c>
    </row>
    <row r="54" spans="1:240" s="9" customFormat="1" ht="22.5" customHeight="1" x14ac:dyDescent="0.4">
      <c r="A54" s="14" t="s">
        <v>96</v>
      </c>
      <c r="B54" s="64">
        <f t="shared" ref="B54:BM54" si="353">B55+B56+B57+B58+B59</f>
        <v>9754.040570000001</v>
      </c>
      <c r="C54" s="64">
        <f t="shared" si="353"/>
        <v>3568.7894200000001</v>
      </c>
      <c r="D54" s="64">
        <f t="shared" si="353"/>
        <v>17175.730179999999</v>
      </c>
      <c r="E54" s="64">
        <f t="shared" si="353"/>
        <v>7305.0956500000002</v>
      </c>
      <c r="F54" s="64">
        <f t="shared" si="353"/>
        <v>28369.414279999994</v>
      </c>
      <c r="G54" s="64">
        <f t="shared" si="353"/>
        <v>12163.989890000001</v>
      </c>
      <c r="H54" s="64">
        <f t="shared" si="353"/>
        <v>38663.925080000001</v>
      </c>
      <c r="I54" s="64">
        <f t="shared" si="353"/>
        <v>16549.752079999998</v>
      </c>
      <c r="J54" s="64">
        <f t="shared" si="353"/>
        <v>49605.352960000004</v>
      </c>
      <c r="K54" s="64">
        <f t="shared" si="353"/>
        <v>20787.564340000004</v>
      </c>
      <c r="L54" s="64">
        <f t="shared" si="353"/>
        <v>62732.725750000005</v>
      </c>
      <c r="M54" s="64">
        <f t="shared" si="353"/>
        <v>24508.766420000007</v>
      </c>
      <c r="N54" s="64">
        <f t="shared" si="353"/>
        <v>77776.996650000001</v>
      </c>
      <c r="O54" s="64">
        <f t="shared" si="353"/>
        <v>29278.764450000002</v>
      </c>
      <c r="P54" s="64">
        <f t="shared" si="353"/>
        <v>89492.966759999981</v>
      </c>
      <c r="Q54" s="64">
        <f t="shared" si="353"/>
        <v>34524.666079999995</v>
      </c>
      <c r="R54" s="64">
        <f t="shared" si="353"/>
        <v>104372.91912000002</v>
      </c>
      <c r="S54" s="64">
        <f t="shared" si="353"/>
        <v>38634.178839999993</v>
      </c>
      <c r="T54" s="64">
        <f t="shared" si="353"/>
        <v>126542.26567000002</v>
      </c>
      <c r="U54" s="64">
        <f t="shared" si="353"/>
        <v>43105.079419999995</v>
      </c>
      <c r="V54" s="64">
        <f t="shared" si="353"/>
        <v>137478.81427999999</v>
      </c>
      <c r="W54" s="64">
        <f t="shared" si="353"/>
        <v>48225.125709999993</v>
      </c>
      <c r="X54" s="64">
        <f t="shared" si="353"/>
        <v>148469.70654000001</v>
      </c>
      <c r="Y54" s="64">
        <f t="shared" si="353"/>
        <v>53458.303079999998</v>
      </c>
      <c r="Z54" s="64">
        <f t="shared" si="353"/>
        <v>9134.2187300000005</v>
      </c>
      <c r="AA54" s="64">
        <f t="shared" si="353"/>
        <v>4548.5644199999997</v>
      </c>
      <c r="AB54" s="64">
        <f t="shared" si="353"/>
        <v>18681.034449999999</v>
      </c>
      <c r="AC54" s="64">
        <f t="shared" si="353"/>
        <v>10169.457609999999</v>
      </c>
      <c r="AD54" s="64">
        <f t="shared" si="353"/>
        <v>27649.2438</v>
      </c>
      <c r="AE54" s="64">
        <f t="shared" si="353"/>
        <v>14611.8</v>
      </c>
      <c r="AF54" s="64">
        <f t="shared" si="353"/>
        <v>64674.133160000012</v>
      </c>
      <c r="AG54" s="64">
        <f t="shared" si="353"/>
        <v>20203.831170000001</v>
      </c>
      <c r="AH54" s="64">
        <f t="shared" si="353"/>
        <v>75591.671089999989</v>
      </c>
      <c r="AI54" s="64">
        <f t="shared" si="353"/>
        <v>25995.174570000003</v>
      </c>
      <c r="AJ54" s="64">
        <f t="shared" si="353"/>
        <v>88233.054489999995</v>
      </c>
      <c r="AK54" s="64">
        <f t="shared" si="353"/>
        <v>30368.72752</v>
      </c>
      <c r="AL54" s="64">
        <f t="shared" si="353"/>
        <v>101596.84577</v>
      </c>
      <c r="AM54" s="64">
        <f t="shared" si="353"/>
        <v>36350.89329</v>
      </c>
      <c r="AN54" s="64">
        <f t="shared" si="353"/>
        <v>114304.28651000001</v>
      </c>
      <c r="AO54" s="64">
        <f t="shared" si="353"/>
        <v>41701.93931999999</v>
      </c>
      <c r="AP54" s="64">
        <f t="shared" si="353"/>
        <v>125597.67934999998</v>
      </c>
      <c r="AQ54" s="64">
        <f t="shared" si="353"/>
        <v>47231.310400000017</v>
      </c>
      <c r="AR54" s="64">
        <f t="shared" si="353"/>
        <v>136165.60131</v>
      </c>
      <c r="AS54" s="64">
        <f t="shared" si="353"/>
        <v>53621.37945</v>
      </c>
      <c r="AT54" s="64">
        <f t="shared" si="353"/>
        <v>145531.81087000002</v>
      </c>
      <c r="AU54" s="64">
        <f t="shared" si="353"/>
        <v>58908.735860000001</v>
      </c>
      <c r="AV54" s="64">
        <f t="shared" si="353"/>
        <v>156514.62186000001</v>
      </c>
      <c r="AW54" s="64">
        <f t="shared" si="353"/>
        <v>64632.586150000003</v>
      </c>
      <c r="AX54" s="64">
        <f t="shared" si="353"/>
        <v>13363.88897</v>
      </c>
      <c r="AY54" s="64">
        <f t="shared" si="353"/>
        <v>5972.05069</v>
      </c>
      <c r="AZ54" s="64">
        <f t="shared" si="353"/>
        <v>22609.852650000001</v>
      </c>
      <c r="BA54" s="64">
        <f t="shared" si="353"/>
        <v>11222.005160000001</v>
      </c>
      <c r="BB54" s="64">
        <f t="shared" si="353"/>
        <v>58205.308270000009</v>
      </c>
      <c r="BC54" s="64">
        <f t="shared" si="353"/>
        <v>15660.495800000001</v>
      </c>
      <c r="BD54" s="64">
        <f t="shared" si="353"/>
        <v>71005.717529999994</v>
      </c>
      <c r="BE54" s="64">
        <f t="shared" si="353"/>
        <v>22591.15279</v>
      </c>
      <c r="BF54" s="64">
        <f t="shared" si="353"/>
        <v>83253.950700000001</v>
      </c>
      <c r="BG54" s="64">
        <f t="shared" si="353"/>
        <v>28792.719570000001</v>
      </c>
      <c r="BH54" s="64">
        <f t="shared" si="353"/>
        <v>94130.188399999999</v>
      </c>
      <c r="BI54" s="64">
        <f t="shared" si="353"/>
        <v>34514.560389999999</v>
      </c>
      <c r="BJ54" s="64">
        <f t="shared" si="353"/>
        <v>109556.04840999999</v>
      </c>
      <c r="BK54" s="64">
        <f t="shared" si="353"/>
        <v>43130.904790000001</v>
      </c>
      <c r="BL54" s="64">
        <f t="shared" si="353"/>
        <v>122334.31988000002</v>
      </c>
      <c r="BM54" s="64">
        <f t="shared" si="353"/>
        <v>49572.728370000004</v>
      </c>
      <c r="BN54" s="64">
        <f t="shared" ref="BN54:DY54" si="354">BN55+BN56+BN57+BN58+BN59</f>
        <v>134673.88312000001</v>
      </c>
      <c r="BO54" s="64">
        <f t="shared" si="354"/>
        <v>56227.38063</v>
      </c>
      <c r="BP54" s="64">
        <f t="shared" si="354"/>
        <v>145196.48154000001</v>
      </c>
      <c r="BQ54" s="64">
        <f t="shared" si="354"/>
        <v>63381.397980000002</v>
      </c>
      <c r="BR54" s="64">
        <f t="shared" si="354"/>
        <v>155313.26712</v>
      </c>
      <c r="BS54" s="64">
        <f t="shared" si="354"/>
        <v>69925.533169999995</v>
      </c>
      <c r="BT54" s="64">
        <f t="shared" si="354"/>
        <v>176459.76705000008</v>
      </c>
      <c r="BU54" s="64">
        <f t="shared" si="354"/>
        <v>77525.976869999969</v>
      </c>
      <c r="BV54" s="64">
        <f t="shared" si="354"/>
        <v>18210.303390000001</v>
      </c>
      <c r="BW54" s="64">
        <f t="shared" si="354"/>
        <v>7283.0290800000002</v>
      </c>
      <c r="BX54" s="64">
        <f t="shared" si="354"/>
        <v>59601.751530000009</v>
      </c>
      <c r="BY54" s="64">
        <f t="shared" si="354"/>
        <v>14679.432989999999</v>
      </c>
      <c r="BZ54" s="64">
        <f t="shared" si="354"/>
        <v>69052.583110000007</v>
      </c>
      <c r="CA54" s="64">
        <f t="shared" si="354"/>
        <v>19002.756430000001</v>
      </c>
      <c r="CB54" s="64">
        <f t="shared" si="354"/>
        <v>79757.430130000008</v>
      </c>
      <c r="CC54" s="64">
        <f t="shared" si="354"/>
        <v>24579.530699999996</v>
      </c>
      <c r="CD54" s="64">
        <f t="shared" si="354"/>
        <v>91362.001540000012</v>
      </c>
      <c r="CE54" s="64">
        <f t="shared" si="354"/>
        <v>28435.845100000002</v>
      </c>
      <c r="CF54" s="64">
        <f t="shared" si="354"/>
        <v>102124.04617</v>
      </c>
      <c r="CG54" s="64">
        <f t="shared" si="354"/>
        <v>33250.1423</v>
      </c>
      <c r="CH54" s="64">
        <f t="shared" si="354"/>
        <v>113973.20545000001</v>
      </c>
      <c r="CI54" s="64">
        <f t="shared" si="354"/>
        <v>37884.085619999998</v>
      </c>
      <c r="CJ54" s="64">
        <f t="shared" si="354"/>
        <v>124857.98344</v>
      </c>
      <c r="CK54" s="64">
        <f t="shared" si="354"/>
        <v>42533.674910000002</v>
      </c>
      <c r="CL54" s="64">
        <f t="shared" si="354"/>
        <v>137892.14937999999</v>
      </c>
      <c r="CM54" s="64">
        <f t="shared" si="354"/>
        <v>48661.516660000001</v>
      </c>
      <c r="CN54" s="64">
        <f t="shared" si="354"/>
        <v>147855.85897999999</v>
      </c>
      <c r="CO54" s="64">
        <f t="shared" si="354"/>
        <v>54012.668489999996</v>
      </c>
      <c r="CP54" s="64">
        <f t="shared" si="354"/>
        <v>156875.14671</v>
      </c>
      <c r="CQ54" s="64">
        <f t="shared" si="354"/>
        <v>61120.587840000007</v>
      </c>
      <c r="CR54" s="64">
        <f t="shared" si="354"/>
        <v>171915.62709000002</v>
      </c>
      <c r="CS54" s="64">
        <f t="shared" si="354"/>
        <v>83853.131429999994</v>
      </c>
      <c r="CT54" s="64">
        <f t="shared" si="354"/>
        <v>16195.166509999999</v>
      </c>
      <c r="CU54" s="64">
        <f t="shared" si="354"/>
        <v>19262.81292</v>
      </c>
      <c r="CV54" s="64">
        <f t="shared" si="354"/>
        <v>32758.031929999997</v>
      </c>
      <c r="CW54" s="64">
        <f t="shared" si="354"/>
        <v>32196.169600000001</v>
      </c>
      <c r="CX54" s="64">
        <f t="shared" si="354"/>
        <v>78463.5815</v>
      </c>
      <c r="CY54" s="64">
        <f t="shared" si="354"/>
        <v>39882.595979999998</v>
      </c>
      <c r="CZ54" s="64">
        <f t="shared" si="354"/>
        <v>90616.191790000012</v>
      </c>
      <c r="DA54" s="64">
        <f t="shared" si="354"/>
        <v>48940.370049999998</v>
      </c>
      <c r="DB54" s="64">
        <f t="shared" si="354"/>
        <v>101463.93508</v>
      </c>
      <c r="DC54" s="64">
        <f t="shared" si="354"/>
        <v>54996.157220000001</v>
      </c>
      <c r="DD54" s="64">
        <f t="shared" si="354"/>
        <v>112840.16962999999</v>
      </c>
      <c r="DE54" s="64">
        <f t="shared" si="354"/>
        <v>62531.315349999997</v>
      </c>
      <c r="DF54" s="64">
        <f t="shared" si="354"/>
        <v>124565.44986999998</v>
      </c>
      <c r="DG54" s="64">
        <f t="shared" si="354"/>
        <v>70676.308099999995</v>
      </c>
      <c r="DH54" s="64">
        <f t="shared" si="354"/>
        <v>138366.7623</v>
      </c>
      <c r="DI54" s="64">
        <f t="shared" si="354"/>
        <v>79710.476839999988</v>
      </c>
      <c r="DJ54" s="64">
        <f t="shared" si="354"/>
        <v>159096.54593999998</v>
      </c>
      <c r="DK54" s="64">
        <f t="shared" si="354"/>
        <v>89497.378089999984</v>
      </c>
      <c r="DL54" s="64">
        <f t="shared" si="354"/>
        <v>171011.96308999998</v>
      </c>
      <c r="DM54" s="64">
        <f t="shared" si="354"/>
        <v>97974.17426</v>
      </c>
      <c r="DN54" s="64">
        <f t="shared" si="354"/>
        <v>181506.81338000004</v>
      </c>
      <c r="DO54" s="64">
        <f t="shared" si="354"/>
        <v>106462.66256</v>
      </c>
      <c r="DP54" s="64">
        <f t="shared" si="354"/>
        <v>193796.32498999999</v>
      </c>
      <c r="DQ54" s="65">
        <f t="shared" si="354"/>
        <v>115389.11059</v>
      </c>
      <c r="DR54" s="66">
        <f t="shared" si="354"/>
        <v>14003.949049999999</v>
      </c>
      <c r="DS54" s="67">
        <f t="shared" si="354"/>
        <v>7043.5313100000003</v>
      </c>
      <c r="DT54" s="68">
        <f t="shared" si="354"/>
        <v>23527.655680000003</v>
      </c>
      <c r="DU54" s="65">
        <f t="shared" si="354"/>
        <v>14024.309810000001</v>
      </c>
      <c r="DV54" s="69">
        <f t="shared" si="354"/>
        <v>47369.458209999997</v>
      </c>
      <c r="DW54" s="70">
        <f t="shared" si="354"/>
        <v>21533.819070000001</v>
      </c>
      <c r="DX54" s="68">
        <f t="shared" si="354"/>
        <v>60815.707049999997</v>
      </c>
      <c r="DY54" s="65">
        <f t="shared" si="354"/>
        <v>29840.152959999999</v>
      </c>
      <c r="DZ54" s="69">
        <f t="shared" ref="DZ54:EM54" si="355">DZ55+DZ56+DZ57+DZ58+DZ59</f>
        <v>72186.711490000002</v>
      </c>
      <c r="EA54" s="70">
        <f t="shared" si="355"/>
        <v>36960.76771</v>
      </c>
      <c r="EB54" s="68">
        <f t="shared" si="355"/>
        <v>84561.129320000007</v>
      </c>
      <c r="EC54" s="65">
        <f t="shared" si="355"/>
        <v>42908.252030000003</v>
      </c>
      <c r="ED54" s="69">
        <f t="shared" si="355"/>
        <v>96649.123920000013</v>
      </c>
      <c r="EE54" s="70">
        <f t="shared" si="355"/>
        <v>52108.247300000003</v>
      </c>
      <c r="EF54" s="69">
        <f t="shared" si="355"/>
        <v>111796.68580000001</v>
      </c>
      <c r="EG54" s="71">
        <f t="shared" si="355"/>
        <v>60932.097659999992</v>
      </c>
      <c r="EH54" s="69">
        <f t="shared" si="355"/>
        <v>124503.73288</v>
      </c>
      <c r="EI54" s="71">
        <f t="shared" si="355"/>
        <v>69186.857739999992</v>
      </c>
      <c r="EJ54" s="65">
        <f t="shared" si="355"/>
        <v>137643.19482999999</v>
      </c>
      <c r="EK54" s="70">
        <f t="shared" si="355"/>
        <v>77213.023929999996</v>
      </c>
      <c r="EL54" s="69">
        <f t="shared" si="355"/>
        <v>152311.88094999999</v>
      </c>
      <c r="EM54" s="71">
        <f t="shared" si="355"/>
        <v>84037.918820000006</v>
      </c>
      <c r="EN54" s="69">
        <f t="shared" ref="EN54:EO54" si="356">EN55+EN56+EN57+EN58+EN59</f>
        <v>168856.51093999998</v>
      </c>
      <c r="EO54" s="71">
        <f t="shared" si="356"/>
        <v>92161.610220000002</v>
      </c>
      <c r="EP54" s="69">
        <f t="shared" ref="EP54:EQ54" si="357">EP55+EP56+EP57+EP58+EP59</f>
        <v>13946.371439999999</v>
      </c>
      <c r="EQ54" s="71">
        <f t="shared" si="357"/>
        <v>8119.6307999999999</v>
      </c>
      <c r="ER54" s="69">
        <f t="shared" ref="ER54:ES54" si="358">ER55+ER56+ER57+ER58+ER59</f>
        <v>37116.762909999998</v>
      </c>
      <c r="ES54" s="71">
        <f t="shared" si="358"/>
        <v>17540.570830000001</v>
      </c>
      <c r="ET54" s="69">
        <f t="shared" ref="ET54:EU54" si="359">ET55+ET56+ET57+ET58+ET59</f>
        <v>72455.348480000001</v>
      </c>
      <c r="EU54" s="71">
        <f t="shared" si="359"/>
        <v>23540.681929999999</v>
      </c>
      <c r="EV54" s="69">
        <f t="shared" ref="EV54:EW54" si="360">EV55+EV56+EV57+EV58+EV59</f>
        <v>95359.785739999992</v>
      </c>
      <c r="EW54" s="71">
        <f t="shared" si="360"/>
        <v>31448.795530000003</v>
      </c>
      <c r="EX54" s="69">
        <f t="shared" ref="EX54:EY54" si="361">EX55+EX56+EX57+EX58+EX59</f>
        <v>116509.23608999999</v>
      </c>
      <c r="EY54" s="71">
        <f t="shared" si="361"/>
        <v>40224.314170000005</v>
      </c>
      <c r="EZ54" s="69">
        <f t="shared" ref="EZ54:FA54" si="362">EZ55+EZ56+EZ57+EZ58+EZ59</f>
        <v>133804.82882</v>
      </c>
      <c r="FA54" s="71">
        <f t="shared" si="362"/>
        <v>48937.477980000003</v>
      </c>
      <c r="FB54" s="69">
        <f t="shared" ref="FB54:FC54" si="363">FB55+FB56+FB57+FB58+FB59</f>
        <v>152437.95234999998</v>
      </c>
      <c r="FC54" s="71">
        <f t="shared" si="363"/>
        <v>60173.865959999996</v>
      </c>
      <c r="FD54" s="69">
        <f t="shared" ref="FD54:FE54" si="364">FD55+FD56+FD57+FD58+FD59</f>
        <v>171977.54093000002</v>
      </c>
      <c r="FE54" s="71">
        <f t="shared" si="364"/>
        <v>69801.985179999989</v>
      </c>
      <c r="FF54" s="69">
        <f t="shared" ref="FF54:FG54" si="365">FF55+FF56+FF57+FF58+FF59</f>
        <v>189211.46514999997</v>
      </c>
      <c r="FG54" s="71">
        <f t="shared" si="365"/>
        <v>77825.09050999998</v>
      </c>
      <c r="FH54" s="69">
        <f t="shared" ref="FH54:FI54" si="366">FH55+FH56+FH57+FH58+FH59</f>
        <v>204772.50294999999</v>
      </c>
      <c r="FI54" s="71">
        <f t="shared" si="366"/>
        <v>87455.362099999998</v>
      </c>
      <c r="FJ54" s="69">
        <f t="shared" ref="FJ54:FK54" si="367">FJ55+FJ56+FJ57+FJ58+FJ59</f>
        <v>221533.95366</v>
      </c>
      <c r="FK54" s="71">
        <f t="shared" si="367"/>
        <v>95661.598100000003</v>
      </c>
      <c r="FL54" s="69">
        <f t="shared" ref="FL54:FM54" si="368">FL55+FL56+FL57+FL58+FL59</f>
        <v>250391.764</v>
      </c>
      <c r="FM54" s="71">
        <f t="shared" si="368"/>
        <v>104129.33352999999</v>
      </c>
      <c r="FN54" s="69">
        <f t="shared" ref="FN54:FP54" si="369">FN55+FN56+FN57+FN58+FN59</f>
        <v>15967.38632</v>
      </c>
      <c r="FO54" s="71">
        <f>FO55+FO56+FO57+FO58+FO59</f>
        <v>8029.8940399999992</v>
      </c>
      <c r="FP54" s="69">
        <f t="shared" si="369"/>
        <v>34997.583789999997</v>
      </c>
      <c r="FQ54" s="71">
        <f>FQ55+FQ56+FQ57+FQ58+FQ59</f>
        <v>17031.027390000003</v>
      </c>
      <c r="FR54" s="69">
        <f t="shared" ref="FR54:FT54" si="370">FR55+FR56+FR57+FR58+FR59</f>
        <v>74229.753460000007</v>
      </c>
      <c r="FS54" s="71">
        <f>FS55+FS56+FS57+FS58+FS59</f>
        <v>28440.154180000001</v>
      </c>
      <c r="FT54" s="69">
        <f t="shared" si="370"/>
        <v>99117.610960000005</v>
      </c>
      <c r="FU54" s="71">
        <f>FU55+FU56+FU57+FU58+FU59</f>
        <v>41343.922790000004</v>
      </c>
      <c r="FV54" s="69">
        <f t="shared" ref="FV54:FX54" si="371">FV55+FV56+FV57+FV58+FV59</f>
        <v>119851.67431999999</v>
      </c>
      <c r="FW54" s="71">
        <f>FW55+FW56+FW57+FW58+FW59</f>
        <v>52502.611130000005</v>
      </c>
      <c r="FX54" s="69">
        <f t="shared" si="371"/>
        <v>136788.02425000002</v>
      </c>
      <c r="FY54" s="71">
        <f>FY55+FY56+FY57+FY58+FY59</f>
        <v>59457.266670000005</v>
      </c>
      <c r="FZ54" s="69">
        <f t="shared" ref="FZ54:GA54" si="372">FZ55+FZ56+FZ57+FZ58+FZ59</f>
        <v>156146.60657</v>
      </c>
      <c r="GA54" s="71">
        <f t="shared" si="372"/>
        <v>69624.008190000008</v>
      </c>
      <c r="GB54" s="69">
        <f t="shared" ref="GB54" si="373">GB55+GB56+GB57+GB58+GB59</f>
        <v>175180.27760999999</v>
      </c>
      <c r="GC54" s="71">
        <f>GC55+GC56+GC57+GC58+GC59</f>
        <v>81533.327290000001</v>
      </c>
      <c r="GD54" s="69">
        <f t="shared" ref="GD54:GG54" si="374">GD55+GD56+GD57+GD58+GD59</f>
        <v>193365.96051999999</v>
      </c>
      <c r="GE54" s="71">
        <f t="shared" si="374"/>
        <v>95775.019070000009</v>
      </c>
      <c r="GF54" s="69">
        <f t="shared" si="374"/>
        <v>212786.08234999998</v>
      </c>
      <c r="GG54" s="71">
        <f t="shared" si="374"/>
        <v>108341.73751000001</v>
      </c>
      <c r="GH54" s="69">
        <f t="shared" ref="GH54:GI54" si="375">GH55+GH56+GH57+GH58+GH59</f>
        <v>230314.27725000001</v>
      </c>
      <c r="GI54" s="71">
        <f t="shared" si="375"/>
        <v>121756.21365000001</v>
      </c>
      <c r="GJ54" s="69">
        <f t="shared" ref="GJ54:GK54" si="376">GJ55+GJ56+GJ57+GJ58+GJ59</f>
        <v>251676.07930000004</v>
      </c>
      <c r="GK54" s="71">
        <f t="shared" si="376"/>
        <v>133915.00936</v>
      </c>
      <c r="GL54" s="69">
        <f t="shared" ref="GL54:GQ54" si="377">GL55+GL56+GL57+GL58+GL59</f>
        <v>16782.020649999999</v>
      </c>
      <c r="GM54" s="71">
        <f t="shared" si="377"/>
        <v>9728.7010200000004</v>
      </c>
      <c r="GN54" s="69">
        <f t="shared" si="377"/>
        <v>44701.283259999997</v>
      </c>
      <c r="GO54" s="71">
        <f t="shared" si="377"/>
        <v>20544.591679999998</v>
      </c>
      <c r="GP54" s="69">
        <f t="shared" si="377"/>
        <v>66985.017650000067</v>
      </c>
      <c r="GQ54" s="71">
        <f t="shared" si="377"/>
        <v>28901.801359999998</v>
      </c>
      <c r="GR54" s="69">
        <f t="shared" ref="GR54:GS54" si="378">GR55+GR56+GR57+GR58+GR59</f>
        <v>99051.757989999984</v>
      </c>
      <c r="GS54" s="71">
        <f t="shared" si="378"/>
        <v>42657.631780000003</v>
      </c>
      <c r="GT54" s="69">
        <f t="shared" ref="GT54:GU54" si="379">GT55+GT56+GT57+GT58+GT59</f>
        <v>124147.72344</v>
      </c>
      <c r="GU54" s="71">
        <f t="shared" si="379"/>
        <v>55170.599530000007</v>
      </c>
      <c r="GV54" s="69">
        <f t="shared" ref="GV54:GW54" si="380">GV55+GV56+GV57+GV58+GV59</f>
        <v>141801.73585</v>
      </c>
      <c r="GW54" s="71">
        <f t="shared" si="380"/>
        <v>65642.053950000001</v>
      </c>
      <c r="GX54" s="69">
        <f t="shared" ref="GX54:GY54" si="381">GX55+GX56+GX57+GX58+GX59</f>
        <v>162332.35590000002</v>
      </c>
      <c r="GY54" s="71">
        <f t="shared" si="381"/>
        <v>77211.537760000007</v>
      </c>
      <c r="GZ54" s="69">
        <f t="shared" ref="GZ54:HA54" si="382">GZ55+GZ56+GZ57+GZ58+GZ59</f>
        <v>182874.91520999998</v>
      </c>
      <c r="HA54" s="71">
        <f t="shared" si="382"/>
        <v>89071.320699999997</v>
      </c>
      <c r="HB54" s="69">
        <f t="shared" ref="HB54:HC54" si="383">HB55+HB56+HB57+HB58+HB59</f>
        <v>203598.53529</v>
      </c>
      <c r="HC54" s="71">
        <f t="shared" si="383"/>
        <v>101189.53065</v>
      </c>
      <c r="HD54" s="69">
        <f t="shared" ref="HD54:HE54" si="384">HD55+HD56+HD57+HD58+HD59</f>
        <v>222716.31823</v>
      </c>
      <c r="HE54" s="71">
        <f t="shared" si="384"/>
        <v>115853.21617</v>
      </c>
      <c r="HF54" s="69">
        <f t="shared" ref="HF54:HG54" si="385">HF55+HF56+HF57+HF58+HF59</f>
        <v>240682.30730000001</v>
      </c>
      <c r="HG54" s="71">
        <f t="shared" si="385"/>
        <v>126149.50074</v>
      </c>
      <c r="HH54" s="69">
        <f t="shared" ref="HH54:HI54" si="386">HH55+HH56+HH57+HH58+HH59</f>
        <v>264291.66592999996</v>
      </c>
      <c r="HI54" s="71">
        <f t="shared" si="386"/>
        <v>140617.57055</v>
      </c>
      <c r="HJ54" s="69">
        <f t="shared" ref="HJ54:HK54" si="387">HJ55+HJ56+HJ57+HJ58+HJ59</f>
        <v>16578.317950000001</v>
      </c>
      <c r="HK54" s="71">
        <f t="shared" si="387"/>
        <v>11503.72364</v>
      </c>
      <c r="HL54" s="69">
        <f t="shared" ref="HL54:HM54" si="388">HL55+HL56+HL57+HL58+HL59</f>
        <v>32203.631420000002</v>
      </c>
      <c r="HM54" s="71">
        <f t="shared" si="388"/>
        <v>26643.155299999999</v>
      </c>
      <c r="HN54" s="69">
        <f t="shared" ref="HN54:HO54" si="389">HN55+HN56+HN57+HN58+HN59</f>
        <v>48399.576869999997</v>
      </c>
      <c r="HO54" s="71">
        <f t="shared" si="389"/>
        <v>37489.776579999998</v>
      </c>
      <c r="HP54" s="69">
        <f t="shared" ref="HP54:HQ54" si="390">HP55+HP56+HP57+HP58+HP59</f>
        <v>69418.297909999994</v>
      </c>
      <c r="HQ54" s="71">
        <f t="shared" si="390"/>
        <v>52750.197380000005</v>
      </c>
      <c r="HR54" s="69">
        <f t="shared" ref="HR54:HS54" si="391">HR55+HR56+HR57+HR58+HR59</f>
        <v>89532.129679999998</v>
      </c>
      <c r="HS54" s="71">
        <f t="shared" si="391"/>
        <v>64823.660159999999</v>
      </c>
      <c r="HT54" s="69">
        <f t="shared" ref="HT54:HU54" si="392">HT55+HT56+HT57+HT58+HT59</f>
        <v>115859.06557000001</v>
      </c>
      <c r="HU54" s="71">
        <f t="shared" si="392"/>
        <v>78193.221950000006</v>
      </c>
      <c r="HV54" s="69">
        <f t="shared" ref="HV54:HW54" si="393">HV55+HV56+HV57+HV58+HV59</f>
        <v>145493.09672999999</v>
      </c>
      <c r="HW54" s="71">
        <f t="shared" si="393"/>
        <v>93152.236969999998</v>
      </c>
      <c r="HX54" s="69">
        <f t="shared" ref="HX54:HY54" si="394">HX55+HX56+HX57+HX58+HX59</f>
        <v>171341.24257999999</v>
      </c>
      <c r="HY54" s="71">
        <f t="shared" si="394"/>
        <v>107805.74950000002</v>
      </c>
      <c r="HZ54" s="69">
        <f t="shared" ref="HZ54:IA54" si="395">HZ55+HZ56+HZ57+HZ58+HZ59</f>
        <v>208880.54060000001</v>
      </c>
      <c r="IA54" s="71">
        <f t="shared" si="395"/>
        <v>122684.50766</v>
      </c>
      <c r="IB54" s="14" t="s">
        <v>43</v>
      </c>
    </row>
    <row r="55" spans="1:240" s="9" customFormat="1" ht="22.5" customHeight="1" x14ac:dyDescent="0.4">
      <c r="A55" s="22" t="s">
        <v>97</v>
      </c>
      <c r="B55" s="50">
        <v>4819.5867600000001</v>
      </c>
      <c r="C55" s="50">
        <v>3059.1910600000001</v>
      </c>
      <c r="D55" s="50">
        <v>9978.2065500000008</v>
      </c>
      <c r="E55" s="50">
        <v>6085.3454900000006</v>
      </c>
      <c r="F55" s="50">
        <v>17461.586649999997</v>
      </c>
      <c r="G55" s="50">
        <v>9931.8826300000001</v>
      </c>
      <c r="H55" s="50">
        <v>25599.331719999998</v>
      </c>
      <c r="I55" s="50">
        <v>13385.902810000001</v>
      </c>
      <c r="J55" s="50">
        <v>33556.197189999999</v>
      </c>
      <c r="K55" s="50">
        <v>16876.245940000001</v>
      </c>
      <c r="L55" s="50">
        <v>44708.578020000001</v>
      </c>
      <c r="M55" s="50">
        <v>19903.036350000002</v>
      </c>
      <c r="N55" s="50">
        <v>55449.138149999999</v>
      </c>
      <c r="O55" s="50">
        <v>23688.472730000001</v>
      </c>
      <c r="P55" s="50">
        <v>64687.862580000001</v>
      </c>
      <c r="Q55" s="50">
        <v>28202.690480000001</v>
      </c>
      <c r="R55" s="50">
        <v>71877.752010000011</v>
      </c>
      <c r="S55" s="50">
        <v>31945.613980000002</v>
      </c>
      <c r="T55" s="50">
        <v>79695.256789999999</v>
      </c>
      <c r="U55" s="50">
        <v>36165.17787</v>
      </c>
      <c r="V55" s="50">
        <v>86586.710730000006</v>
      </c>
      <c r="W55" s="50">
        <v>40341.182119999998</v>
      </c>
      <c r="X55" s="50">
        <v>92604.04737</v>
      </c>
      <c r="Y55" s="50">
        <v>44763.625399999997</v>
      </c>
      <c r="Z55" s="50">
        <v>5513.5177999999996</v>
      </c>
      <c r="AA55" s="50">
        <v>4054.2116900000001</v>
      </c>
      <c r="AB55" s="50">
        <v>11329.780859999999</v>
      </c>
      <c r="AC55" s="50">
        <v>8194.7029199999997</v>
      </c>
      <c r="AD55" s="50">
        <v>18299.072270000001</v>
      </c>
      <c r="AE55" s="50">
        <v>11567.545619999999</v>
      </c>
      <c r="AF55" s="50">
        <v>26718.736440000001</v>
      </c>
      <c r="AG55" s="50">
        <v>15996.659609999999</v>
      </c>
      <c r="AH55" s="50">
        <v>34926.09936</v>
      </c>
      <c r="AI55" s="50">
        <v>20337.966960000002</v>
      </c>
      <c r="AJ55" s="50">
        <v>44524.377460000003</v>
      </c>
      <c r="AK55" s="50">
        <v>24076.218559999998</v>
      </c>
      <c r="AL55" s="50">
        <v>55457.606189999999</v>
      </c>
      <c r="AM55" s="50">
        <v>29207.067350000001</v>
      </c>
      <c r="AN55" s="50">
        <v>64853.795389999999</v>
      </c>
      <c r="AO55" s="50">
        <v>33838.063049999997</v>
      </c>
      <c r="AP55" s="50">
        <v>72553.617389999999</v>
      </c>
      <c r="AQ55" s="50">
        <v>38302.603860000003</v>
      </c>
      <c r="AR55" s="50">
        <v>80977.643489999988</v>
      </c>
      <c r="AS55" s="50">
        <v>43992.183700000001</v>
      </c>
      <c r="AT55" s="50">
        <v>88416.99222</v>
      </c>
      <c r="AU55" s="50">
        <v>48622.186479999997</v>
      </c>
      <c r="AV55" s="50">
        <v>95440.454360000003</v>
      </c>
      <c r="AW55" s="50">
        <v>53505.219189999996</v>
      </c>
      <c r="AX55" s="50">
        <v>6511.3182800000004</v>
      </c>
      <c r="AY55" s="50">
        <v>5432.0009</v>
      </c>
      <c r="AZ55" s="50">
        <v>12715.19476</v>
      </c>
      <c r="BA55" s="50">
        <v>9897.2929100000001</v>
      </c>
      <c r="BB55" s="50">
        <v>20178.741239999999</v>
      </c>
      <c r="BC55" s="50">
        <v>13645.46486</v>
      </c>
      <c r="BD55" s="50">
        <v>29191.779629999997</v>
      </c>
      <c r="BE55" s="50">
        <v>19728.48256</v>
      </c>
      <c r="BF55" s="50">
        <v>38046.912630000006</v>
      </c>
      <c r="BG55" s="50">
        <v>25189.093239999998</v>
      </c>
      <c r="BH55" s="50">
        <v>47238.323630000006</v>
      </c>
      <c r="BI55" s="50">
        <v>29995.813559999999</v>
      </c>
      <c r="BJ55" s="50">
        <v>58519.878899999996</v>
      </c>
      <c r="BK55" s="50">
        <v>37263.759680000003</v>
      </c>
      <c r="BL55" s="50">
        <v>67860.710149999999</v>
      </c>
      <c r="BM55" s="50">
        <v>42736.934340000007</v>
      </c>
      <c r="BN55" s="50">
        <v>76197.630590000001</v>
      </c>
      <c r="BO55" s="50">
        <v>48700.720590000004</v>
      </c>
      <c r="BP55" s="50">
        <v>84463.206090000007</v>
      </c>
      <c r="BQ55" s="50">
        <v>54893.438670000003</v>
      </c>
      <c r="BR55" s="50">
        <v>92593.811589999998</v>
      </c>
      <c r="BS55" s="50">
        <v>60598.840859999997</v>
      </c>
      <c r="BT55" s="50">
        <v>100430.16220999999</v>
      </c>
      <c r="BU55" s="50">
        <v>67235.563020000001</v>
      </c>
      <c r="BV55" s="50">
        <v>6924.9952499999999</v>
      </c>
      <c r="BW55" s="50">
        <v>6059.0794400000004</v>
      </c>
      <c r="BX55" s="50">
        <v>13515.0965</v>
      </c>
      <c r="BY55" s="50">
        <v>12477.556199999999</v>
      </c>
      <c r="BZ55" s="50">
        <v>19372.857499999998</v>
      </c>
      <c r="CA55" s="50">
        <v>16325.902830000001</v>
      </c>
      <c r="CB55" s="50">
        <v>26225.853870000003</v>
      </c>
      <c r="CC55" s="50">
        <v>20989.427949999998</v>
      </c>
      <c r="CD55" s="50">
        <v>35255.420020000005</v>
      </c>
      <c r="CE55" s="50">
        <v>24500.824390000002</v>
      </c>
      <c r="CF55" s="50">
        <v>44152.252829999998</v>
      </c>
      <c r="CG55" s="50">
        <v>28605.347600000001</v>
      </c>
      <c r="CH55" s="50">
        <v>53700.200770000003</v>
      </c>
      <c r="CI55" s="50">
        <v>32785.172210000004</v>
      </c>
      <c r="CJ55" s="50">
        <v>62442.417460000004</v>
      </c>
      <c r="CK55" s="50">
        <v>36927.090670000005</v>
      </c>
      <c r="CL55" s="50">
        <v>70783.300749999995</v>
      </c>
      <c r="CM55" s="50">
        <v>42220.9548</v>
      </c>
      <c r="CN55" s="50">
        <v>78771.856629999995</v>
      </c>
      <c r="CO55" s="50">
        <v>47018.987299999993</v>
      </c>
      <c r="CP55" s="50">
        <v>85785.247799999997</v>
      </c>
      <c r="CQ55" s="50">
        <v>51576.551579999999</v>
      </c>
      <c r="CR55" s="50">
        <v>93293.501040000003</v>
      </c>
      <c r="CS55" s="50">
        <v>56578.731959999997</v>
      </c>
      <c r="CT55" s="50">
        <v>7106.4720900000002</v>
      </c>
      <c r="CU55" s="50">
        <v>4708.2037799999998</v>
      </c>
      <c r="CV55" s="50">
        <v>13847.68957</v>
      </c>
      <c r="CW55" s="50">
        <v>9808.6905100000004</v>
      </c>
      <c r="CX55" s="50">
        <v>20825.48516</v>
      </c>
      <c r="CY55" s="50">
        <v>14790.49042</v>
      </c>
      <c r="CZ55" s="50">
        <v>28712.01658</v>
      </c>
      <c r="DA55" s="50">
        <v>21448.576300000001</v>
      </c>
      <c r="DB55" s="50">
        <v>37600.040009999997</v>
      </c>
      <c r="DC55" s="50">
        <v>26068.454389999999</v>
      </c>
      <c r="DD55" s="50">
        <v>46757.772600000004</v>
      </c>
      <c r="DE55" s="50">
        <v>32078.447889999999</v>
      </c>
      <c r="DF55" s="50">
        <v>56557.608869999996</v>
      </c>
      <c r="DG55" s="50">
        <v>38422.302189999995</v>
      </c>
      <c r="DH55" s="50">
        <v>66102.299469999998</v>
      </c>
      <c r="DI55" s="50">
        <v>45600.321469999995</v>
      </c>
      <c r="DJ55" s="50">
        <v>74824.549950000001</v>
      </c>
      <c r="DK55" s="50">
        <v>53144.271099999998</v>
      </c>
      <c r="DL55" s="50">
        <v>83251.933910000007</v>
      </c>
      <c r="DM55" s="50">
        <v>59946.431230000002</v>
      </c>
      <c r="DN55" s="50">
        <v>91208.440730000002</v>
      </c>
      <c r="DO55" s="50">
        <v>67041.278219999993</v>
      </c>
      <c r="DP55" s="50">
        <v>99566.054300000003</v>
      </c>
      <c r="DQ55" s="51">
        <v>74098.637799999997</v>
      </c>
      <c r="DR55" s="59">
        <v>7365.7418399999997</v>
      </c>
      <c r="DS55" s="58">
        <v>6620.0105199999998</v>
      </c>
      <c r="DT55" s="62">
        <v>14282.49192</v>
      </c>
      <c r="DU55" s="63">
        <v>13493.41178</v>
      </c>
      <c r="DV55" s="59">
        <v>21705.131570000001</v>
      </c>
      <c r="DW55" s="58">
        <v>20699.406470000002</v>
      </c>
      <c r="DX55" s="62">
        <v>29977.026689999999</v>
      </c>
      <c r="DY55" s="63">
        <v>28904.888569999999</v>
      </c>
      <c r="DZ55" s="59">
        <v>39332.535779999998</v>
      </c>
      <c r="EA55" s="58">
        <v>35942.541969999998</v>
      </c>
      <c r="EB55" s="54">
        <v>48448.469550000002</v>
      </c>
      <c r="EC55" s="51">
        <v>41774.70708</v>
      </c>
      <c r="ED55" s="52">
        <v>59149.672330000001</v>
      </c>
      <c r="EE55" s="53">
        <v>50845.696640000002</v>
      </c>
      <c r="EF55" s="52">
        <v>69919.972590000005</v>
      </c>
      <c r="EG55" s="53">
        <v>59505.453569999998</v>
      </c>
      <c r="EH55" s="54">
        <v>80303.857480000006</v>
      </c>
      <c r="EI55" s="53">
        <v>67584.016019999995</v>
      </c>
      <c r="EJ55" s="54">
        <v>91073.342430000004</v>
      </c>
      <c r="EK55" s="53">
        <v>75539.851720000006</v>
      </c>
      <c r="EL55" s="52">
        <v>102219.89301</v>
      </c>
      <c r="EM55" s="55">
        <v>82292.491569999998</v>
      </c>
      <c r="EN55" s="52">
        <v>113843.57021999999</v>
      </c>
      <c r="EO55" s="55">
        <v>90280.42254</v>
      </c>
      <c r="EP55" s="52">
        <v>11271.21442</v>
      </c>
      <c r="EQ55" s="55">
        <v>7920.0517399999999</v>
      </c>
      <c r="ER55" s="52">
        <v>23457.885630000001</v>
      </c>
      <c r="ES55" s="55">
        <v>17206.256659999999</v>
      </c>
      <c r="ET55" s="52">
        <v>35667.024590000001</v>
      </c>
      <c r="EU55" s="55">
        <v>23014.32546</v>
      </c>
      <c r="EV55" s="52">
        <v>48167.781560000003</v>
      </c>
      <c r="EW55" s="55">
        <v>30630.75188</v>
      </c>
      <c r="EX55" s="52">
        <v>62945.835330000002</v>
      </c>
      <c r="EY55" s="55">
        <v>39101.492450000005</v>
      </c>
      <c r="EZ55" s="52">
        <v>76874.511029999994</v>
      </c>
      <c r="FA55" s="55">
        <v>46493.464070000002</v>
      </c>
      <c r="FB55" s="52">
        <v>92644.450599999996</v>
      </c>
      <c r="FC55" s="55">
        <v>56655.319179999999</v>
      </c>
      <c r="FD55" s="52">
        <v>107622.65153</v>
      </c>
      <c r="FE55" s="55">
        <v>64770.162109999997</v>
      </c>
      <c r="FF55" s="52">
        <v>121515.83559999999</v>
      </c>
      <c r="FG55" s="55">
        <v>72679.01376999999</v>
      </c>
      <c r="FH55" s="52">
        <v>135079.03260000001</v>
      </c>
      <c r="FI55" s="55">
        <v>81912.731750000006</v>
      </c>
      <c r="FJ55" s="52">
        <v>147793.33244999999</v>
      </c>
      <c r="FK55" s="55">
        <v>89637.180300000007</v>
      </c>
      <c r="FL55" s="52">
        <v>170929.51536000002</v>
      </c>
      <c r="FM55" s="55">
        <v>97909.045209999997</v>
      </c>
      <c r="FN55" s="52">
        <v>12330.036459999999</v>
      </c>
      <c r="FO55" s="55">
        <v>7940.7301799999996</v>
      </c>
      <c r="FP55" s="52">
        <v>24493.461090000001</v>
      </c>
      <c r="FQ55" s="55">
        <v>16749.61159</v>
      </c>
      <c r="FR55" s="52">
        <v>37009.892970000001</v>
      </c>
      <c r="FS55" s="55">
        <v>27679.025119999998</v>
      </c>
      <c r="FT55" s="52">
        <v>50171.105580000003</v>
      </c>
      <c r="FU55" s="55">
        <v>40423.126900000003</v>
      </c>
      <c r="FV55" s="52">
        <v>65315.669249999999</v>
      </c>
      <c r="FW55" s="55">
        <f>51249.23641+17.7237</f>
        <v>51266.96011</v>
      </c>
      <c r="FX55" s="52">
        <v>79640.895539999998</v>
      </c>
      <c r="FY55" s="55">
        <f>57842.78875+17.7237</f>
        <v>57860.512450000002</v>
      </c>
      <c r="FZ55" s="52">
        <v>95961.829989999998</v>
      </c>
      <c r="GA55" s="55">
        <f>66441.26346+979.78177+17.7237</f>
        <v>67438.768930000006</v>
      </c>
      <c r="GB55" s="52">
        <v>111675.77558</v>
      </c>
      <c r="GC55" s="55">
        <f>79056.61784+17.7237</f>
        <v>79074.341540000009</v>
      </c>
      <c r="GD55" s="52">
        <v>126001.92080000001</v>
      </c>
      <c r="GE55" s="55">
        <f>92970.52309+17.7237</f>
        <v>92988.246790000005</v>
      </c>
      <c r="GF55" s="52">
        <v>140787.44837999999</v>
      </c>
      <c r="GG55" s="55">
        <f>105330.99006+17.7237</f>
        <v>105348.71376</v>
      </c>
      <c r="GH55" s="52">
        <v>154172.69773000001</v>
      </c>
      <c r="GI55" s="55">
        <f>118364.80063+17.7237</f>
        <v>118382.52433</v>
      </c>
      <c r="GJ55" s="52">
        <v>167711.16304000001</v>
      </c>
      <c r="GK55" s="55">
        <f>129979.70453+17.7237</f>
        <v>129997.42823</v>
      </c>
      <c r="GL55" s="52">
        <v>12803.474410000001</v>
      </c>
      <c r="GM55" s="55">
        <v>9477.5295499999993</v>
      </c>
      <c r="GN55" s="52">
        <v>25069.87329</v>
      </c>
      <c r="GO55" s="55">
        <v>19830.070629999998</v>
      </c>
      <c r="GP55" s="52">
        <v>38529.69363000006</v>
      </c>
      <c r="GQ55" s="55">
        <v>28019.71761</v>
      </c>
      <c r="GR55" s="52">
        <v>53720.575270000001</v>
      </c>
      <c r="GS55" s="55">
        <v>41631.773119999998</v>
      </c>
      <c r="GT55" s="52">
        <v>69411.004979999998</v>
      </c>
      <c r="GU55" s="55">
        <v>53946.066729999999</v>
      </c>
      <c r="GV55" s="52">
        <v>84300.884720000002</v>
      </c>
      <c r="GW55" s="55">
        <v>64228.651700000002</v>
      </c>
      <c r="GX55" s="52">
        <v>101795.28384</v>
      </c>
      <c r="GY55" s="55">
        <v>75426.765400000004</v>
      </c>
      <c r="GZ55" s="52">
        <v>118534.20821</v>
      </c>
      <c r="HA55" s="55">
        <v>87172.90509</v>
      </c>
      <c r="HB55" s="52">
        <v>134724.47172</v>
      </c>
      <c r="HC55" s="55">
        <v>98982.675050000005</v>
      </c>
      <c r="HD55" s="52">
        <v>151172.59656000001</v>
      </c>
      <c r="HE55" s="55">
        <v>113469.47010999999</v>
      </c>
      <c r="HF55" s="52">
        <v>165605.12442000001</v>
      </c>
      <c r="HG55" s="55">
        <v>123689.65229</v>
      </c>
      <c r="HH55" s="52">
        <v>182114.04840999999</v>
      </c>
      <c r="HI55" s="55">
        <v>137593.25808</v>
      </c>
      <c r="HJ55" s="52">
        <v>13750.57351</v>
      </c>
      <c r="HK55" s="55">
        <v>11399.789769999999</v>
      </c>
      <c r="HL55" s="52">
        <v>26993.977470000002</v>
      </c>
      <c r="HM55" s="55">
        <v>26199.950349999999</v>
      </c>
      <c r="HN55" s="52">
        <v>40727.934430000001</v>
      </c>
      <c r="HO55" s="55">
        <v>36870.193070000001</v>
      </c>
      <c r="HP55" s="52">
        <v>57517.282399999996</v>
      </c>
      <c r="HQ55" s="55">
        <v>51708.581839999999</v>
      </c>
      <c r="HR55" s="52">
        <v>74363.931379999995</v>
      </c>
      <c r="HS55" s="55">
        <v>63209.823299999996</v>
      </c>
      <c r="HT55" s="52">
        <v>91539.000870000003</v>
      </c>
      <c r="HU55" s="55">
        <v>75853.913209999999</v>
      </c>
      <c r="HV55" s="52">
        <v>111394.37321999999</v>
      </c>
      <c r="HW55" s="55">
        <v>90514.436719999998</v>
      </c>
      <c r="HX55" s="52">
        <v>131227.52924999999</v>
      </c>
      <c r="HY55" s="55">
        <v>104770.10546000001</v>
      </c>
      <c r="HZ55" s="52">
        <v>151588.52658000001</v>
      </c>
      <c r="IA55" s="55">
        <v>119383.13218</v>
      </c>
      <c r="IB55" s="21" t="s">
        <v>127</v>
      </c>
      <c r="ID55" s="81"/>
      <c r="IE55" s="81"/>
      <c r="IF55" s="82"/>
    </row>
    <row r="56" spans="1:240" s="9" customFormat="1" ht="22.5" customHeight="1" x14ac:dyDescent="0.4">
      <c r="A56" s="16" t="s">
        <v>98</v>
      </c>
      <c r="B56" s="50">
        <v>2611.0838100000001</v>
      </c>
      <c r="C56" s="50">
        <v>299.45535999999998</v>
      </c>
      <c r="D56" s="50">
        <v>3883.3146299999999</v>
      </c>
      <c r="E56" s="50">
        <v>593.59216000000004</v>
      </c>
      <c r="F56" s="50">
        <v>5904.3386300000002</v>
      </c>
      <c r="G56" s="50">
        <v>1065.8862300000001</v>
      </c>
      <c r="H56" s="50">
        <v>7372.7953600000001</v>
      </c>
      <c r="I56" s="50">
        <v>1245.1332399999999</v>
      </c>
      <c r="J56" s="50">
        <v>9869.7677700000004</v>
      </c>
      <c r="K56" s="50">
        <v>1401.1743700000002</v>
      </c>
      <c r="L56" s="50">
        <v>11187.60773</v>
      </c>
      <c r="M56" s="50">
        <v>1649.7900400000001</v>
      </c>
      <c r="N56" s="50">
        <v>14292.34397</v>
      </c>
      <c r="O56" s="50">
        <v>2024.1972499999999</v>
      </c>
      <c r="P56" s="50">
        <v>16454.78515</v>
      </c>
      <c r="Q56" s="50">
        <v>2320.22813</v>
      </c>
      <c r="R56" s="50">
        <v>19079.485079999999</v>
      </c>
      <c r="S56" s="50">
        <v>2353.5393899999999</v>
      </c>
      <c r="T56" s="50">
        <v>21444.787850000001</v>
      </c>
      <c r="U56" s="50">
        <v>2405.03008</v>
      </c>
      <c r="V56" s="50">
        <v>24971.535359999998</v>
      </c>
      <c r="W56" s="50">
        <v>2625.1581200000001</v>
      </c>
      <c r="X56" s="50">
        <v>27928.380980000002</v>
      </c>
      <c r="Y56" s="50">
        <v>2828.1072100000001</v>
      </c>
      <c r="Z56" s="50">
        <v>3549.98623</v>
      </c>
      <c r="AA56" s="50">
        <v>62.62453</v>
      </c>
      <c r="AB56" s="50">
        <v>5094.4368700000005</v>
      </c>
      <c r="AC56" s="50">
        <v>681.52548999999999</v>
      </c>
      <c r="AD56" s="50">
        <v>7038.9120199999998</v>
      </c>
      <c r="AE56" s="50">
        <v>955.05552</v>
      </c>
      <c r="AF56" s="50">
        <v>9536.7381700000005</v>
      </c>
      <c r="AG56" s="50">
        <v>1179.1693600000001</v>
      </c>
      <c r="AH56" s="50">
        <v>12174.39718</v>
      </c>
      <c r="AI56" s="50">
        <v>1439.6496399999999</v>
      </c>
      <c r="AJ56" s="50">
        <v>15202.43648</v>
      </c>
      <c r="AK56" s="50">
        <v>1678.7657300000001</v>
      </c>
      <c r="AL56" s="50">
        <v>17238.29753</v>
      </c>
      <c r="AM56" s="50">
        <v>1953.8507099999999</v>
      </c>
      <c r="AN56" s="50">
        <v>20483.66907</v>
      </c>
      <c r="AO56" s="50">
        <v>2169.6173399999998</v>
      </c>
      <c r="AP56" s="50">
        <v>23506.90091</v>
      </c>
      <c r="AQ56" s="50">
        <v>2912.7456099999999</v>
      </c>
      <c r="AR56" s="50">
        <v>25299.251769999999</v>
      </c>
      <c r="AS56" s="50">
        <v>3284.0598199999999</v>
      </c>
      <c r="AT56" s="50">
        <v>27000.345600000001</v>
      </c>
      <c r="AU56" s="50">
        <v>3609.9614500000002</v>
      </c>
      <c r="AV56" s="50">
        <v>30364.470450000001</v>
      </c>
      <c r="AW56" s="50">
        <v>4025.1817900000001</v>
      </c>
      <c r="AX56" s="50">
        <v>5947.4026900000008</v>
      </c>
      <c r="AY56" s="50">
        <v>306.60578999999996</v>
      </c>
      <c r="AZ56" s="50">
        <v>7870.90589</v>
      </c>
      <c r="BA56" s="50">
        <v>669.96225000000004</v>
      </c>
      <c r="BB56" s="50">
        <v>9157.9690300000002</v>
      </c>
      <c r="BC56" s="50">
        <v>1097.06394</v>
      </c>
      <c r="BD56" s="50">
        <v>12841.251900000001</v>
      </c>
      <c r="BE56" s="50">
        <v>1486.91823</v>
      </c>
      <c r="BF56" s="50">
        <v>16187.461070000001</v>
      </c>
      <c r="BG56" s="50">
        <v>1984.7363300000002</v>
      </c>
      <c r="BH56" s="50">
        <v>17849.47177</v>
      </c>
      <c r="BI56" s="50">
        <v>2571.90083</v>
      </c>
      <c r="BJ56" s="50">
        <v>21367.308510000003</v>
      </c>
      <c r="BK56" s="50">
        <v>3054.4621099999999</v>
      </c>
      <c r="BL56" s="50">
        <v>25382.122230000001</v>
      </c>
      <c r="BM56" s="50">
        <v>3497.0670299999997</v>
      </c>
      <c r="BN56" s="50">
        <v>28430.533030000002</v>
      </c>
      <c r="BO56" s="50">
        <v>3939.0550400000002</v>
      </c>
      <c r="BP56" s="50">
        <v>30415.826949999999</v>
      </c>
      <c r="BQ56" s="50">
        <v>4340.4448499999999</v>
      </c>
      <c r="BR56" s="50">
        <v>32171.536030000003</v>
      </c>
      <c r="BS56" s="50">
        <v>4857.2018499999995</v>
      </c>
      <c r="BT56" s="50">
        <v>43426.783340000002</v>
      </c>
      <c r="BU56" s="50">
        <v>5414.9928499999996</v>
      </c>
      <c r="BV56" s="50">
        <v>10873.948410000001</v>
      </c>
      <c r="BW56" s="50">
        <v>801.13264000000004</v>
      </c>
      <c r="BX56" s="50">
        <v>14698.168300000001</v>
      </c>
      <c r="BY56" s="50">
        <v>1360.98811</v>
      </c>
      <c r="BZ56" s="50">
        <v>17845.278879999998</v>
      </c>
      <c r="CA56" s="50">
        <v>1403.65192</v>
      </c>
      <c r="CB56" s="50">
        <v>21326.394530000001</v>
      </c>
      <c r="CC56" s="50">
        <v>2211.4360699999997</v>
      </c>
      <c r="CD56" s="50">
        <v>23879.139789999997</v>
      </c>
      <c r="CE56" s="50">
        <v>2359.61303</v>
      </c>
      <c r="CF56" s="50">
        <v>25720.901610000001</v>
      </c>
      <c r="CG56" s="50">
        <v>2689.4010200000002</v>
      </c>
      <c r="CH56" s="50">
        <v>28003.722949999999</v>
      </c>
      <c r="CI56" s="50">
        <v>2780.2257300000001</v>
      </c>
      <c r="CJ56" s="50">
        <v>30114.643649999998</v>
      </c>
      <c r="CK56" s="50">
        <v>3001.24656</v>
      </c>
      <c r="CL56" s="50">
        <v>34768.446299999996</v>
      </c>
      <c r="CM56" s="50">
        <v>3478.0721800000001</v>
      </c>
      <c r="CN56" s="50">
        <v>36720.450020000004</v>
      </c>
      <c r="CO56" s="50">
        <v>3634.0485099999996</v>
      </c>
      <c r="CP56" s="50">
        <v>38679.121579999999</v>
      </c>
      <c r="CQ56" s="50">
        <v>3702.1585800000003</v>
      </c>
      <c r="CR56" s="50">
        <v>46140.777719999998</v>
      </c>
      <c r="CS56" s="50">
        <v>3864.91579</v>
      </c>
      <c r="CT56" s="50">
        <v>7889.80242</v>
      </c>
      <c r="CU56" s="50">
        <v>113.41139</v>
      </c>
      <c r="CV56" s="50">
        <v>16323.226359999999</v>
      </c>
      <c r="CW56" s="50">
        <v>295.55734000000001</v>
      </c>
      <c r="CX56" s="50">
        <v>23841.23934</v>
      </c>
      <c r="CY56" s="50">
        <v>450.08981</v>
      </c>
      <c r="CZ56" s="50">
        <v>27966.42411</v>
      </c>
      <c r="DA56" s="50">
        <v>620.79999999999995</v>
      </c>
      <c r="DB56" s="50">
        <v>29898.811969999999</v>
      </c>
      <c r="DC56" s="50">
        <v>657.64907999999991</v>
      </c>
      <c r="DD56" s="50">
        <v>32086.317930000001</v>
      </c>
      <c r="DE56" s="50">
        <v>787.03570999999999</v>
      </c>
      <c r="DF56" s="50">
        <v>33994.317900000002</v>
      </c>
      <c r="DG56" s="50">
        <v>925.91916000000003</v>
      </c>
      <c r="DH56" s="50">
        <v>38211.445729999999</v>
      </c>
      <c r="DI56" s="50">
        <v>1106.5046200000002</v>
      </c>
      <c r="DJ56" s="50">
        <v>50155.401389999999</v>
      </c>
      <c r="DK56" s="50">
        <v>1289.6922400000001</v>
      </c>
      <c r="DL56" s="50">
        <v>53595.581180000001</v>
      </c>
      <c r="DM56" s="50">
        <v>1533.7422799999999</v>
      </c>
      <c r="DN56" s="50">
        <v>56065.96355</v>
      </c>
      <c r="DO56" s="50">
        <v>1615.0265899999999</v>
      </c>
      <c r="DP56" s="50">
        <v>62502.186589999998</v>
      </c>
      <c r="DQ56" s="51">
        <v>1919.08104</v>
      </c>
      <c r="DR56" s="59">
        <v>6525.4672099999998</v>
      </c>
      <c r="DS56" s="58">
        <v>65.340789999999998</v>
      </c>
      <c r="DT56" s="62">
        <v>9074.2080600000008</v>
      </c>
      <c r="DU56" s="63">
        <v>105.61803</v>
      </c>
      <c r="DV56" s="59">
        <v>25252.089240000001</v>
      </c>
      <c r="DW56" s="58">
        <v>275.2516</v>
      </c>
      <c r="DX56" s="62">
        <v>30187.770509999998</v>
      </c>
      <c r="DY56" s="63">
        <v>354.92338999999998</v>
      </c>
      <c r="DZ56" s="59">
        <v>32174.102859999999</v>
      </c>
      <c r="EA56" s="58">
        <v>437.88474000000002</v>
      </c>
      <c r="EB56" s="54">
        <v>35320.4738</v>
      </c>
      <c r="EC56" s="51">
        <v>538.47394999999995</v>
      </c>
      <c r="ED56" s="52">
        <v>36734.395620000003</v>
      </c>
      <c r="EE56" s="53">
        <v>609.17765999999995</v>
      </c>
      <c r="EF56" s="52">
        <v>41081.033239999997</v>
      </c>
      <c r="EG56" s="53">
        <v>747.64139</v>
      </c>
      <c r="EH56" s="54">
        <v>43361.79103</v>
      </c>
      <c r="EI56" s="53">
        <v>918.33802000000003</v>
      </c>
      <c r="EJ56" s="54">
        <v>45688.253429999997</v>
      </c>
      <c r="EK56" s="53">
        <v>963.18551000000002</v>
      </c>
      <c r="EL56" s="52">
        <v>49164.258970000003</v>
      </c>
      <c r="EM56" s="55">
        <v>1003.21675</v>
      </c>
      <c r="EN56" s="52">
        <v>53979.716119999997</v>
      </c>
      <c r="EO56" s="55">
        <v>1095.19118</v>
      </c>
      <c r="EP56" s="52">
        <v>2625.26602</v>
      </c>
      <c r="EQ56" s="55">
        <v>140.42845</v>
      </c>
      <c r="ER56" s="52">
        <v>13519.53428</v>
      </c>
      <c r="ES56" s="55">
        <v>249.39256</v>
      </c>
      <c r="ET56" s="52">
        <v>36440.514589999999</v>
      </c>
      <c r="EU56" s="55">
        <v>390.83485999999999</v>
      </c>
      <c r="EV56" s="52">
        <v>46450.296739999998</v>
      </c>
      <c r="EW56" s="55">
        <v>605.03204000000005</v>
      </c>
      <c r="EX56" s="52">
        <v>52769.073320000003</v>
      </c>
      <c r="EY56" s="55">
        <v>878.46010999999999</v>
      </c>
      <c r="EZ56" s="52">
        <v>56110.884239999999</v>
      </c>
      <c r="FA56" s="55">
        <v>2177.6522999999997</v>
      </c>
      <c r="FB56" s="52">
        <v>58920.493909999997</v>
      </c>
      <c r="FC56" s="55">
        <v>3240.90717</v>
      </c>
      <c r="FD56" s="52">
        <v>63403.593560000001</v>
      </c>
      <c r="FE56" s="55">
        <v>4737.2744599999996</v>
      </c>
      <c r="FF56" s="52">
        <v>66704.058210000003</v>
      </c>
      <c r="FG56" s="55">
        <v>4845.6781300000002</v>
      </c>
      <c r="FH56" s="52">
        <v>68665.352410000007</v>
      </c>
      <c r="FI56" s="55">
        <v>5242.2317400000002</v>
      </c>
      <c r="FJ56" s="52">
        <v>72609.522270000001</v>
      </c>
      <c r="FK56" s="55">
        <v>5550.5240800000001</v>
      </c>
      <c r="FL56" s="52">
        <v>78201.5095</v>
      </c>
      <c r="FM56" s="55">
        <v>5726.4685999999992</v>
      </c>
      <c r="FN56" s="52">
        <v>3571.1022600000001</v>
      </c>
      <c r="FO56" s="55">
        <v>88.315860000000001</v>
      </c>
      <c r="FP56" s="52">
        <v>10358.275310000001</v>
      </c>
      <c r="FQ56" s="55">
        <v>214.2038</v>
      </c>
      <c r="FR56" s="52">
        <v>36893.299579999999</v>
      </c>
      <c r="FS56" s="55">
        <v>560.33105999999998</v>
      </c>
      <c r="FT56" s="52">
        <v>48282.817139999999</v>
      </c>
      <c r="FU56" s="55">
        <v>706.80768999999998</v>
      </c>
      <c r="FV56" s="52">
        <v>53728.93593</v>
      </c>
      <c r="FW56" s="55">
        <v>952.86282000000006</v>
      </c>
      <c r="FX56" s="52">
        <v>56273.013570000003</v>
      </c>
      <c r="FY56" s="55">
        <v>1188.3000199999999</v>
      </c>
      <c r="FZ56" s="52">
        <v>59282.418940000003</v>
      </c>
      <c r="GA56" s="55">
        <f>1770.18506+2.1382</f>
        <v>1772.3232600000001</v>
      </c>
      <c r="GB56" s="52">
        <v>62569.766389999997</v>
      </c>
      <c r="GC56" s="55">
        <v>2043.93155</v>
      </c>
      <c r="GD56" s="52">
        <v>66385.612080000006</v>
      </c>
      <c r="GE56" s="55">
        <v>2366.73108</v>
      </c>
      <c r="GF56" s="52">
        <v>70943.287330000006</v>
      </c>
      <c r="GG56" s="55">
        <v>2563.0825500000001</v>
      </c>
      <c r="GH56" s="52">
        <v>75043.121780000001</v>
      </c>
      <c r="GI56" s="55">
        <v>2936.7225199999998</v>
      </c>
      <c r="GJ56" s="52">
        <v>82698.718720000004</v>
      </c>
      <c r="GK56" s="55">
        <v>3310.2478299999998</v>
      </c>
      <c r="GL56" s="52">
        <v>3913.7904199999998</v>
      </c>
      <c r="GM56" s="55">
        <v>204.33747</v>
      </c>
      <c r="GN56" s="52">
        <v>19477.791550000002</v>
      </c>
      <c r="GO56" s="55">
        <v>666.68705</v>
      </c>
      <c r="GP56" s="52">
        <v>28170.80302000001</v>
      </c>
      <c r="GQ56" s="55">
        <v>832.49974999999995</v>
      </c>
      <c r="GR56" s="52">
        <v>44757.114320000001</v>
      </c>
      <c r="GS56" s="55">
        <v>976.27466000000004</v>
      </c>
      <c r="GT56" s="52">
        <v>54046.372940000001</v>
      </c>
      <c r="GU56" s="55">
        <v>1156.3648000000001</v>
      </c>
      <c r="GV56" s="52">
        <v>56638.367680000003</v>
      </c>
      <c r="GW56" s="55">
        <v>1341.29393</v>
      </c>
      <c r="GX56" s="52">
        <v>59570.209609999998</v>
      </c>
      <c r="GY56" s="55">
        <v>1670.70904</v>
      </c>
      <c r="GZ56" s="52">
        <v>63319.125800000002</v>
      </c>
      <c r="HA56" s="55">
        <v>1784.35229</v>
      </c>
      <c r="HB56" s="52">
        <v>67801.508239999996</v>
      </c>
      <c r="HC56" s="55">
        <v>2080.1150299999999</v>
      </c>
      <c r="HD56" s="52">
        <v>70418.601339999994</v>
      </c>
      <c r="HE56" s="55">
        <v>2251.31349</v>
      </c>
      <c r="HF56" s="52">
        <v>73866.761050000001</v>
      </c>
      <c r="HG56" s="55">
        <v>2325.5419099999999</v>
      </c>
      <c r="HH56" s="52">
        <v>80803.982889999999</v>
      </c>
      <c r="HI56" s="55">
        <v>2778.08275</v>
      </c>
      <c r="HJ56" s="52">
        <v>2769.25164</v>
      </c>
      <c r="HK56" s="55">
        <v>101.19799999999999</v>
      </c>
      <c r="HL56" s="52">
        <v>5055.5846499999998</v>
      </c>
      <c r="HM56" s="55">
        <v>435.48892999999998</v>
      </c>
      <c r="HN56" s="52">
        <v>7496.0116399999997</v>
      </c>
      <c r="HO56" s="55">
        <v>567.36748999999998</v>
      </c>
      <c r="HP56" s="52">
        <v>11624.91179</v>
      </c>
      <c r="HQ56" s="55">
        <v>987.93718000000001</v>
      </c>
      <c r="HR56" s="52">
        <v>14830.32971</v>
      </c>
      <c r="HS56" s="55">
        <v>1560.1585</v>
      </c>
      <c r="HT56" s="52">
        <v>23826.166860000001</v>
      </c>
      <c r="HU56" s="55">
        <v>2213.6633999999999</v>
      </c>
      <c r="HV56" s="52">
        <v>33393.544869999998</v>
      </c>
      <c r="HW56" s="55">
        <v>2557.6689099999999</v>
      </c>
      <c r="HX56" s="52">
        <v>39303.150609999997</v>
      </c>
      <c r="HY56" s="55">
        <v>2955.5127000000002</v>
      </c>
      <c r="HZ56" s="52">
        <v>56068.733160000003</v>
      </c>
      <c r="IA56" s="55">
        <v>3207.4108500000002</v>
      </c>
      <c r="IB56" s="16" t="s">
        <v>99</v>
      </c>
      <c r="ID56" s="81"/>
    </row>
    <row r="57" spans="1:240" s="9" customFormat="1" ht="22.5" customHeight="1" x14ac:dyDescent="0.4">
      <c r="A57" s="16" t="s">
        <v>100</v>
      </c>
      <c r="B57" s="50">
        <v>41.25</v>
      </c>
      <c r="C57" s="50">
        <v>0.83399999999999996</v>
      </c>
      <c r="D57" s="50">
        <v>57.430999999999997</v>
      </c>
      <c r="E57" s="50">
        <v>0.83399999999999996</v>
      </c>
      <c r="F57" s="50">
        <v>72.75</v>
      </c>
      <c r="G57" s="50">
        <v>18.055029999999999</v>
      </c>
      <c r="H57" s="50">
        <v>119.122</v>
      </c>
      <c r="I57" s="50">
        <v>18.055029999999999</v>
      </c>
      <c r="J57" s="50">
        <v>141.30199999999999</v>
      </c>
      <c r="K57" s="50">
        <v>18.40503</v>
      </c>
      <c r="L57" s="50">
        <v>157.04599999999999</v>
      </c>
      <c r="M57" s="50">
        <v>18.40503</v>
      </c>
      <c r="N57" s="50">
        <v>172.70453000000001</v>
      </c>
      <c r="O57" s="50">
        <v>20.833470000000002</v>
      </c>
      <c r="P57" s="50">
        <v>196.04453000000001</v>
      </c>
      <c r="Q57" s="50">
        <v>20.833470000000002</v>
      </c>
      <c r="R57" s="50">
        <v>210.11453</v>
      </c>
      <c r="S57" s="50">
        <v>22.833470000000002</v>
      </c>
      <c r="T57" s="50">
        <v>237.57453000000001</v>
      </c>
      <c r="U57" s="50">
        <v>23.533470000000001</v>
      </c>
      <c r="V57" s="50">
        <v>273.53568999999999</v>
      </c>
      <c r="W57" s="50">
        <v>23.533470000000001</v>
      </c>
      <c r="X57" s="50">
        <v>296.07369</v>
      </c>
      <c r="Y57" s="50">
        <v>23.533470000000001</v>
      </c>
      <c r="Z57" s="50">
        <v>44.495699999999999</v>
      </c>
      <c r="AA57" s="50">
        <v>22.031200000000002</v>
      </c>
      <c r="AB57" s="50">
        <v>72.960719999999995</v>
      </c>
      <c r="AC57" s="50">
        <v>22.031200000000002</v>
      </c>
      <c r="AD57" s="50">
        <v>79.492550000000008</v>
      </c>
      <c r="AE57" s="50">
        <v>22.030999999999999</v>
      </c>
      <c r="AF57" s="50">
        <v>139.08255</v>
      </c>
      <c r="AG57" s="50">
        <v>22.031200000000002</v>
      </c>
      <c r="AH57" s="50">
        <v>165.57254999999998</v>
      </c>
      <c r="AI57" s="50">
        <v>65.878969999999995</v>
      </c>
      <c r="AJ57" s="50">
        <v>179.25254999999999</v>
      </c>
      <c r="AK57" s="50">
        <v>69.785229999999999</v>
      </c>
      <c r="AL57" s="50">
        <v>193.43254999999999</v>
      </c>
      <c r="AM57" s="50">
        <v>69.735230000000001</v>
      </c>
      <c r="AN57" s="50">
        <v>209.12254999999999</v>
      </c>
      <c r="AO57" s="50">
        <v>71.482929999999996</v>
      </c>
      <c r="AP57" s="50">
        <v>224.49254999999999</v>
      </c>
      <c r="AQ57" s="50">
        <v>72.628929999999997</v>
      </c>
      <c r="AR57" s="50">
        <v>249.32254999999998</v>
      </c>
      <c r="AS57" s="50">
        <v>64.978930000000005</v>
      </c>
      <c r="AT57" s="50">
        <v>270.29255000000001</v>
      </c>
      <c r="AU57" s="50">
        <v>64.978930000000005</v>
      </c>
      <c r="AV57" s="50">
        <v>299.40254999999996</v>
      </c>
      <c r="AW57" s="50">
        <v>83.705169999999995</v>
      </c>
      <c r="AX57" s="50">
        <v>5.88</v>
      </c>
      <c r="AY57" s="50">
        <v>0</v>
      </c>
      <c r="AZ57" s="50">
        <v>85.65</v>
      </c>
      <c r="BA57" s="50">
        <v>0</v>
      </c>
      <c r="BB57" s="50">
        <v>102.6</v>
      </c>
      <c r="BC57" s="50">
        <v>0</v>
      </c>
      <c r="BD57" s="50">
        <v>166.83</v>
      </c>
      <c r="BE57" s="50">
        <v>0</v>
      </c>
      <c r="BF57" s="50">
        <v>207.67</v>
      </c>
      <c r="BG57" s="50">
        <v>0</v>
      </c>
      <c r="BH57" s="50">
        <v>226.69</v>
      </c>
      <c r="BI57" s="50">
        <v>0</v>
      </c>
      <c r="BJ57" s="50">
        <v>255.04</v>
      </c>
      <c r="BK57" s="50">
        <v>0</v>
      </c>
      <c r="BL57" s="50">
        <v>273.91000000000003</v>
      </c>
      <c r="BM57" s="50">
        <v>0</v>
      </c>
      <c r="BN57" s="50">
        <v>296.08</v>
      </c>
      <c r="BO57" s="50">
        <v>0</v>
      </c>
      <c r="BP57" s="50">
        <v>325.39</v>
      </c>
      <c r="BQ57" s="50">
        <v>5.3014599999999996</v>
      </c>
      <c r="BR57" s="50">
        <v>354.97</v>
      </c>
      <c r="BS57" s="50">
        <v>5.3014599999999996</v>
      </c>
      <c r="BT57" s="50">
        <v>403.64</v>
      </c>
      <c r="BU57" s="50">
        <v>0.60499999999999998</v>
      </c>
      <c r="BV57" s="50">
        <v>56.73</v>
      </c>
      <c r="BW57" s="50">
        <v>0</v>
      </c>
      <c r="BX57" s="50">
        <v>92.22</v>
      </c>
      <c r="BY57" s="50">
        <v>1.44668</v>
      </c>
      <c r="BZ57" s="50">
        <v>121.8</v>
      </c>
      <c r="CA57" s="50">
        <v>1.44668</v>
      </c>
      <c r="CB57" s="50">
        <v>175.47</v>
      </c>
      <c r="CC57" s="50">
        <v>1.44668</v>
      </c>
      <c r="CD57" s="50">
        <v>197.13</v>
      </c>
      <c r="CE57" s="50">
        <v>1.44668</v>
      </c>
      <c r="CF57" s="50">
        <v>214.74</v>
      </c>
      <c r="CG57" s="50">
        <v>13.79668</v>
      </c>
      <c r="CH57" s="50">
        <v>231.81</v>
      </c>
      <c r="CI57" s="50">
        <v>14.24668</v>
      </c>
      <c r="CJ57" s="50">
        <v>262.56</v>
      </c>
      <c r="CK57" s="50">
        <v>20.30368</v>
      </c>
      <c r="CL57" s="50">
        <v>293.94</v>
      </c>
      <c r="CM57" s="50">
        <v>20.703679999999999</v>
      </c>
      <c r="CN57" s="50">
        <v>314.80500000000001</v>
      </c>
      <c r="CO57" s="50">
        <v>22.74268</v>
      </c>
      <c r="CP57" s="50">
        <v>340.245</v>
      </c>
      <c r="CQ57" s="50">
        <v>22.74268</v>
      </c>
      <c r="CR57" s="50">
        <v>407.77499999999998</v>
      </c>
      <c r="CS57" s="50">
        <v>22.74268</v>
      </c>
      <c r="CT57" s="50">
        <v>124.56</v>
      </c>
      <c r="CU57" s="50">
        <v>3.6637499999999998</v>
      </c>
      <c r="CV57" s="50">
        <v>221.886</v>
      </c>
      <c r="CW57" s="50">
        <v>5.0137499999999999</v>
      </c>
      <c r="CX57" s="50">
        <v>435.30599999999998</v>
      </c>
      <c r="CY57" s="50">
        <v>5.0137499999999999</v>
      </c>
      <c r="CZ57" s="50">
        <v>518.27850000000001</v>
      </c>
      <c r="DA57" s="50">
        <v>5.8237500000000004</v>
      </c>
      <c r="DB57" s="50">
        <v>541.91849999999999</v>
      </c>
      <c r="DC57" s="50">
        <v>7.0667499999999999</v>
      </c>
      <c r="DD57" s="50">
        <v>572.0385</v>
      </c>
      <c r="DE57" s="50">
        <v>22.77675</v>
      </c>
      <c r="DF57" s="50">
        <v>588.74249999999995</v>
      </c>
      <c r="DG57" s="50">
        <v>22.77675</v>
      </c>
      <c r="DH57" s="50">
        <v>621.62249999999995</v>
      </c>
      <c r="DI57" s="50">
        <v>23.600750000000001</v>
      </c>
      <c r="DJ57" s="50">
        <v>682.97249999999997</v>
      </c>
      <c r="DK57" s="50">
        <v>23.600750000000001</v>
      </c>
      <c r="DL57" s="50">
        <v>729.03899999999999</v>
      </c>
      <c r="DM57" s="50">
        <v>23.600750000000001</v>
      </c>
      <c r="DN57" s="50">
        <v>775.86900000000003</v>
      </c>
      <c r="DO57" s="50">
        <v>28.700749999999999</v>
      </c>
      <c r="DP57" s="50">
        <v>834.03899999999999</v>
      </c>
      <c r="DQ57" s="51">
        <v>29.14875</v>
      </c>
      <c r="DR57" s="59">
        <v>112.71</v>
      </c>
      <c r="DS57" s="58">
        <v>0</v>
      </c>
      <c r="DT57" s="62">
        <v>155.52000000000001</v>
      </c>
      <c r="DU57" s="63">
        <v>0</v>
      </c>
      <c r="DV57" s="59">
        <v>392.32060000000001</v>
      </c>
      <c r="DW57" s="58">
        <v>0</v>
      </c>
      <c r="DX57" s="62">
        <v>591.95259999999996</v>
      </c>
      <c r="DY57" s="63">
        <v>0.25</v>
      </c>
      <c r="DZ57" s="59">
        <v>615.89260000000002</v>
      </c>
      <c r="EA57" s="58">
        <v>0.25</v>
      </c>
      <c r="EB57" s="54">
        <v>683.0326</v>
      </c>
      <c r="EC57" s="51">
        <v>14.98</v>
      </c>
      <c r="ED57" s="52">
        <v>697.67259999999999</v>
      </c>
      <c r="EE57" s="53">
        <v>18.27</v>
      </c>
      <c r="EF57" s="52">
        <v>723.05259999999998</v>
      </c>
      <c r="EG57" s="53">
        <v>28.499700000000001</v>
      </c>
      <c r="EH57" s="54">
        <v>749.87260000000003</v>
      </c>
      <c r="EI57" s="53">
        <v>28.499700000000001</v>
      </c>
      <c r="EJ57" s="54">
        <v>791.99260000000004</v>
      </c>
      <c r="EK57" s="53">
        <v>28.499700000000001</v>
      </c>
      <c r="EL57" s="52">
        <v>819.92259999999999</v>
      </c>
      <c r="EM57" s="55">
        <v>29.0505</v>
      </c>
      <c r="EN57" s="52">
        <v>914.21259999999995</v>
      </c>
      <c r="EO57" s="55">
        <v>29.752500000000001</v>
      </c>
      <c r="EP57" s="52">
        <v>35.159999999999997</v>
      </c>
      <c r="EQ57" s="55">
        <v>1.95061</v>
      </c>
      <c r="ER57" s="52">
        <v>120.93</v>
      </c>
      <c r="ES57" s="55">
        <v>1.95061</v>
      </c>
      <c r="ET57" s="52">
        <v>322.87049999999999</v>
      </c>
      <c r="EU57" s="55">
        <v>1.95061</v>
      </c>
      <c r="EV57" s="52">
        <v>680.02059999999994</v>
      </c>
      <c r="EW57" s="55">
        <v>8.4906100000000002</v>
      </c>
      <c r="EX57" s="52">
        <v>726.38260000000002</v>
      </c>
      <c r="EY57" s="55">
        <v>8.4906100000000002</v>
      </c>
      <c r="EZ57" s="52">
        <v>749.95570999999995</v>
      </c>
      <c r="FA57" s="55">
        <v>8.4906100000000002</v>
      </c>
      <c r="FB57" s="52">
        <v>801.98259999999993</v>
      </c>
      <c r="FC57" s="55">
        <v>8.7686100000000007</v>
      </c>
      <c r="FD57" s="52">
        <v>878.42259999999999</v>
      </c>
      <c r="FE57" s="55">
        <v>10.277609999999999</v>
      </c>
      <c r="FF57" s="52">
        <v>910.30359999999996</v>
      </c>
      <c r="FG57" s="55">
        <v>16.127610000000001</v>
      </c>
      <c r="FH57" s="52">
        <v>946.18359999999996</v>
      </c>
      <c r="FI57" s="55">
        <v>16.127610000000001</v>
      </c>
      <c r="FJ57" s="52">
        <v>1031.9836</v>
      </c>
      <c r="FK57" s="55">
        <v>19.629719999999999</v>
      </c>
      <c r="FL57" s="52">
        <v>1152.7858000000001</v>
      </c>
      <c r="FM57" s="55">
        <v>21.955719999999999</v>
      </c>
      <c r="FN57" s="52">
        <v>60.060099999999998</v>
      </c>
      <c r="FO57" s="55">
        <v>0.84799999999999998</v>
      </c>
      <c r="FP57" s="52">
        <v>130.55439000000001</v>
      </c>
      <c r="FQ57" s="55">
        <v>25.847999999999999</v>
      </c>
      <c r="FR57" s="52">
        <v>305.36511000000002</v>
      </c>
      <c r="FS57" s="55">
        <v>81.397000000000006</v>
      </c>
      <c r="FT57" s="52">
        <v>624.81614000000002</v>
      </c>
      <c r="FU57" s="55">
        <v>83.587199999999996</v>
      </c>
      <c r="FV57" s="52">
        <v>714.12613999999996</v>
      </c>
      <c r="FW57" s="55">
        <v>99.587199999999996</v>
      </c>
      <c r="FX57" s="52">
        <v>752.34313999999995</v>
      </c>
      <c r="FY57" s="55">
        <v>99.587199999999996</v>
      </c>
      <c r="FZ57" s="52">
        <v>779.07313999999997</v>
      </c>
      <c r="GA57" s="55">
        <v>97.448999999999998</v>
      </c>
      <c r="GB57" s="52">
        <v>806.04313999999999</v>
      </c>
      <c r="GC57" s="55">
        <v>99.587199999999996</v>
      </c>
      <c r="GD57" s="52">
        <v>844.35314000000005</v>
      </c>
      <c r="GE57" s="55">
        <v>104.5742</v>
      </c>
      <c r="GF57" s="52">
        <v>920.13013999999998</v>
      </c>
      <c r="GG57" s="55">
        <v>104.5742</v>
      </c>
      <c r="GH57" s="52">
        <v>948.24014</v>
      </c>
      <c r="GI57" s="55">
        <v>104.5742</v>
      </c>
      <c r="GJ57" s="52">
        <v>1103.1169400000001</v>
      </c>
      <c r="GK57" s="55">
        <v>158.82419999999999</v>
      </c>
      <c r="GL57" s="52">
        <v>54.125320000000002</v>
      </c>
      <c r="GM57" s="55">
        <v>0</v>
      </c>
      <c r="GN57" s="52">
        <v>129.69532000000001</v>
      </c>
      <c r="GO57" s="55">
        <v>1</v>
      </c>
      <c r="GP57" s="52">
        <v>251.35634999999999</v>
      </c>
      <c r="GQ57" s="55">
        <v>1</v>
      </c>
      <c r="GR57" s="52">
        <v>499.14175</v>
      </c>
      <c r="GS57" s="55">
        <v>1</v>
      </c>
      <c r="GT57" s="52">
        <v>605.83587</v>
      </c>
      <c r="GU57" s="55">
        <v>8.5839999999999996</v>
      </c>
      <c r="GV57" s="52">
        <v>776.14779999999996</v>
      </c>
      <c r="GW57" s="55">
        <v>12.524319999999999</v>
      </c>
      <c r="GX57" s="52">
        <v>828.46780000000001</v>
      </c>
      <c r="GY57" s="55">
        <v>54.479320000000001</v>
      </c>
      <c r="GZ57" s="52">
        <v>876.54804999999999</v>
      </c>
      <c r="HA57" s="55">
        <v>54.479320000000001</v>
      </c>
      <c r="HB57" s="52">
        <v>918.94907999999998</v>
      </c>
      <c r="HC57" s="55">
        <v>56.764429999999997</v>
      </c>
      <c r="HD57" s="52">
        <v>966.64908000000003</v>
      </c>
      <c r="HE57" s="55">
        <v>59.956429999999997</v>
      </c>
      <c r="HF57" s="52">
        <v>1030.4890800000001</v>
      </c>
      <c r="HG57" s="55">
        <v>61.830399999999997</v>
      </c>
      <c r="HH57" s="52">
        <v>1184.5558799999999</v>
      </c>
      <c r="HI57" s="55">
        <v>163.75358</v>
      </c>
      <c r="HJ57" s="52">
        <v>51.27</v>
      </c>
      <c r="HK57" s="55">
        <v>0.5</v>
      </c>
      <c r="HL57" s="52">
        <v>138.4665</v>
      </c>
      <c r="HM57" s="55">
        <v>3.91391</v>
      </c>
      <c r="HN57" s="52">
        <v>155.0565</v>
      </c>
      <c r="HO57" s="55">
        <v>45.913910000000001</v>
      </c>
      <c r="HP57" s="52">
        <v>210.81541999999999</v>
      </c>
      <c r="HQ57" s="55">
        <v>45.913910000000001</v>
      </c>
      <c r="HR57" s="52">
        <v>265.09289999999999</v>
      </c>
      <c r="HS57" s="55">
        <v>45.913910000000001</v>
      </c>
      <c r="HT57" s="52">
        <v>409.23315000000002</v>
      </c>
      <c r="HU57" s="55">
        <v>117.88088999999999</v>
      </c>
      <c r="HV57" s="52">
        <v>610.06494999999995</v>
      </c>
      <c r="HW57" s="55">
        <v>72.366889999999998</v>
      </c>
      <c r="HX57" s="52">
        <v>663.67502999999999</v>
      </c>
      <c r="HY57" s="55">
        <v>72.366889999999998</v>
      </c>
      <c r="HZ57" s="52">
        <v>984.82203000000004</v>
      </c>
      <c r="IA57" s="55">
        <v>80.366889999999998</v>
      </c>
      <c r="IB57" s="16" t="s">
        <v>128</v>
      </c>
    </row>
    <row r="58" spans="1:240" s="9" customFormat="1" ht="42.75" customHeight="1" x14ac:dyDescent="0.4">
      <c r="A58" s="16" t="s">
        <v>101</v>
      </c>
      <c r="B58" s="50">
        <v>5.992</v>
      </c>
      <c r="C58" s="50">
        <v>0</v>
      </c>
      <c r="D58" s="50">
        <v>13.923</v>
      </c>
      <c r="E58" s="50">
        <v>0</v>
      </c>
      <c r="F58" s="50">
        <v>16.64</v>
      </c>
      <c r="G58" s="50">
        <v>0</v>
      </c>
      <c r="H58" s="50">
        <v>54.682000000000002</v>
      </c>
      <c r="I58" s="50">
        <v>0</v>
      </c>
      <c r="J58" s="50">
        <v>55.334000000000003</v>
      </c>
      <c r="K58" s="50">
        <v>0</v>
      </c>
      <c r="L58" s="50">
        <v>56</v>
      </c>
      <c r="M58" s="50">
        <v>0</v>
      </c>
      <c r="N58" s="50">
        <v>64.468999999999994</v>
      </c>
      <c r="O58" s="50">
        <v>0</v>
      </c>
      <c r="P58" s="50">
        <v>67.605000000000004</v>
      </c>
      <c r="Q58" s="50">
        <v>0</v>
      </c>
      <c r="R58" s="50">
        <v>81.463999999999999</v>
      </c>
      <c r="S58" s="50">
        <v>0</v>
      </c>
      <c r="T58" s="50">
        <v>82.394000000000005</v>
      </c>
      <c r="U58" s="50">
        <v>0</v>
      </c>
      <c r="V58" s="50">
        <v>93.507999999999996</v>
      </c>
      <c r="W58" s="50">
        <v>0</v>
      </c>
      <c r="X58" s="50">
        <v>103.82599999999999</v>
      </c>
      <c r="Y58" s="50">
        <v>0</v>
      </c>
      <c r="Z58" s="50">
        <v>25.834</v>
      </c>
      <c r="AA58" s="50">
        <v>0</v>
      </c>
      <c r="AB58" s="50">
        <v>31.209</v>
      </c>
      <c r="AC58" s="50">
        <v>0</v>
      </c>
      <c r="AD58" s="50">
        <v>32.668999999999997</v>
      </c>
      <c r="AE58" s="50">
        <v>0</v>
      </c>
      <c r="AF58" s="50">
        <v>69.477999999999994</v>
      </c>
      <c r="AG58" s="50">
        <v>0</v>
      </c>
      <c r="AH58" s="50">
        <v>69.561999999999998</v>
      </c>
      <c r="AI58" s="50">
        <v>0</v>
      </c>
      <c r="AJ58" s="50">
        <v>70.227999999999994</v>
      </c>
      <c r="AK58" s="50">
        <v>0</v>
      </c>
      <c r="AL58" s="50">
        <v>70.227999999999994</v>
      </c>
      <c r="AM58" s="50">
        <v>0</v>
      </c>
      <c r="AN58" s="50">
        <v>70.227999999999994</v>
      </c>
      <c r="AO58" s="50">
        <v>0</v>
      </c>
      <c r="AP58" s="50">
        <v>88.965000000000003</v>
      </c>
      <c r="AQ58" s="50">
        <v>0</v>
      </c>
      <c r="AR58" s="50">
        <v>89.444999999999993</v>
      </c>
      <c r="AS58" s="50">
        <v>0</v>
      </c>
      <c r="AT58" s="50">
        <v>100.599</v>
      </c>
      <c r="AU58" s="50">
        <v>0</v>
      </c>
      <c r="AV58" s="50">
        <v>112.839</v>
      </c>
      <c r="AW58" s="50">
        <v>0</v>
      </c>
      <c r="AX58" s="50">
        <v>0</v>
      </c>
      <c r="AY58" s="50">
        <v>166.1</v>
      </c>
      <c r="AZ58" s="50">
        <v>31.038</v>
      </c>
      <c r="BA58" s="50">
        <v>0</v>
      </c>
      <c r="BB58" s="50">
        <v>31.745999999999999</v>
      </c>
      <c r="BC58" s="50">
        <v>0</v>
      </c>
      <c r="BD58" s="50">
        <v>65.935000000000002</v>
      </c>
      <c r="BE58" s="50">
        <v>0</v>
      </c>
      <c r="BF58" s="50">
        <v>66.486999999999995</v>
      </c>
      <c r="BG58" s="50">
        <v>0</v>
      </c>
      <c r="BH58" s="50">
        <v>67.027000000000001</v>
      </c>
      <c r="BI58" s="50">
        <v>0</v>
      </c>
      <c r="BJ58" s="50">
        <v>67.722999999999999</v>
      </c>
      <c r="BK58" s="50">
        <v>0</v>
      </c>
      <c r="BL58" s="50">
        <v>67.722999999999999</v>
      </c>
      <c r="BM58" s="50">
        <v>0</v>
      </c>
      <c r="BN58" s="50">
        <v>86.209000000000003</v>
      </c>
      <c r="BO58" s="50">
        <v>0</v>
      </c>
      <c r="BP58" s="50">
        <v>96.313000000000002</v>
      </c>
      <c r="BQ58" s="50">
        <v>0</v>
      </c>
      <c r="BR58" s="50">
        <v>108.367</v>
      </c>
      <c r="BS58" s="50">
        <v>0</v>
      </c>
      <c r="BT58" s="50">
        <v>109.333</v>
      </c>
      <c r="BU58" s="50">
        <v>0</v>
      </c>
      <c r="BV58" s="50">
        <v>5.88</v>
      </c>
      <c r="BW58" s="50">
        <v>0</v>
      </c>
      <c r="BX58" s="50">
        <v>14.055</v>
      </c>
      <c r="BY58" s="50">
        <v>0</v>
      </c>
      <c r="BZ58" s="50">
        <v>41.558</v>
      </c>
      <c r="CA58" s="50">
        <v>0</v>
      </c>
      <c r="CB58" s="50">
        <v>74.856999999999999</v>
      </c>
      <c r="CC58" s="50">
        <v>0</v>
      </c>
      <c r="CD58" s="50">
        <v>74.941000000000003</v>
      </c>
      <c r="CE58" s="50">
        <v>0</v>
      </c>
      <c r="CF58" s="50">
        <v>75.210999999999999</v>
      </c>
      <c r="CG58" s="50">
        <v>0</v>
      </c>
      <c r="CH58" s="50">
        <v>75.840999999999994</v>
      </c>
      <c r="CI58" s="50">
        <v>0</v>
      </c>
      <c r="CJ58" s="50">
        <v>75.840999999999994</v>
      </c>
      <c r="CK58" s="50">
        <v>0</v>
      </c>
      <c r="CL58" s="50">
        <v>83.721000000000004</v>
      </c>
      <c r="CM58" s="50">
        <v>0</v>
      </c>
      <c r="CN58" s="50">
        <v>85.561000000000007</v>
      </c>
      <c r="CO58" s="50">
        <v>0</v>
      </c>
      <c r="CP58" s="50">
        <v>106.53100000000001</v>
      </c>
      <c r="CQ58" s="50">
        <v>0</v>
      </c>
      <c r="CR58" s="50">
        <v>108.75700000000001</v>
      </c>
      <c r="CS58" s="50">
        <v>0</v>
      </c>
      <c r="CT58" s="50">
        <v>11.199</v>
      </c>
      <c r="CU58" s="50">
        <v>0</v>
      </c>
      <c r="CV58" s="50">
        <v>11.367000000000001</v>
      </c>
      <c r="CW58" s="50">
        <v>0</v>
      </c>
      <c r="CX58" s="50">
        <v>12.872999999999999</v>
      </c>
      <c r="CY58" s="50">
        <v>0</v>
      </c>
      <c r="CZ58" s="50">
        <v>70.132999999999996</v>
      </c>
      <c r="DA58" s="50">
        <v>0</v>
      </c>
      <c r="DB58" s="50">
        <v>70.659000000000006</v>
      </c>
      <c r="DC58" s="50">
        <v>0</v>
      </c>
      <c r="DD58" s="50">
        <v>70.784999999999997</v>
      </c>
      <c r="DE58" s="50">
        <v>0</v>
      </c>
      <c r="DF58" s="50">
        <v>71.055000000000007</v>
      </c>
      <c r="DG58" s="50">
        <v>0</v>
      </c>
      <c r="DH58" s="50">
        <v>78.460999999999999</v>
      </c>
      <c r="DI58" s="50">
        <v>0</v>
      </c>
      <c r="DJ58" s="50">
        <v>79.688999999999993</v>
      </c>
      <c r="DK58" s="50">
        <v>0</v>
      </c>
      <c r="DL58" s="50">
        <v>80.709000000000003</v>
      </c>
      <c r="DM58" s="50">
        <v>0</v>
      </c>
      <c r="DN58" s="50">
        <v>101.361</v>
      </c>
      <c r="DO58" s="50">
        <v>0</v>
      </c>
      <c r="DP58" s="50">
        <v>104.175</v>
      </c>
      <c r="DQ58" s="51">
        <v>0</v>
      </c>
      <c r="DR58" s="59">
        <v>0</v>
      </c>
      <c r="DS58" s="58">
        <v>0</v>
      </c>
      <c r="DT58" s="62">
        <v>12.555</v>
      </c>
      <c r="DU58" s="63">
        <v>0</v>
      </c>
      <c r="DV58" s="59">
        <v>14.387</v>
      </c>
      <c r="DW58" s="58">
        <v>0</v>
      </c>
      <c r="DX58" s="62">
        <v>43.473999999999997</v>
      </c>
      <c r="DY58" s="63">
        <v>0</v>
      </c>
      <c r="DZ58" s="59">
        <v>43.973999999999997</v>
      </c>
      <c r="EA58" s="58">
        <v>0</v>
      </c>
      <c r="EB58" s="54">
        <v>87.665999999999997</v>
      </c>
      <c r="EC58" s="51">
        <v>0</v>
      </c>
      <c r="ED58" s="52">
        <v>45.558</v>
      </c>
      <c r="EE58" s="53">
        <v>0</v>
      </c>
      <c r="EF58" s="52">
        <v>50.802</v>
      </c>
      <c r="EG58" s="53">
        <v>0</v>
      </c>
      <c r="EH58" s="54">
        <v>66.272000000000006</v>
      </c>
      <c r="EI58" s="53">
        <v>0</v>
      </c>
      <c r="EJ58" s="54">
        <v>67.561999999999998</v>
      </c>
      <c r="EK58" s="53">
        <v>0</v>
      </c>
      <c r="EL58" s="52">
        <v>84.933999999999997</v>
      </c>
      <c r="EM58" s="55">
        <v>0</v>
      </c>
      <c r="EN58" s="52">
        <v>95.962000000000003</v>
      </c>
      <c r="EO58" s="55">
        <v>0</v>
      </c>
      <c r="EP58" s="52">
        <v>14.068</v>
      </c>
      <c r="EQ58" s="55">
        <v>0</v>
      </c>
      <c r="ER58" s="52">
        <v>14.403</v>
      </c>
      <c r="ES58" s="55">
        <v>0</v>
      </c>
      <c r="ET58" s="52">
        <v>15.459</v>
      </c>
      <c r="EU58" s="55">
        <v>0</v>
      </c>
      <c r="EV58" s="52">
        <v>46.661999999999999</v>
      </c>
      <c r="EW58" s="55">
        <v>0</v>
      </c>
      <c r="EX58" s="52">
        <v>47.741999999999997</v>
      </c>
      <c r="EY58" s="55">
        <v>0</v>
      </c>
      <c r="EZ58" s="52">
        <v>47.91</v>
      </c>
      <c r="FA58" s="55">
        <v>0</v>
      </c>
      <c r="FB58" s="52">
        <v>48.347999999999999</v>
      </c>
      <c r="FC58" s="55">
        <v>0</v>
      </c>
      <c r="FD58" s="52">
        <v>49.055999999999997</v>
      </c>
      <c r="FE58" s="55">
        <v>0</v>
      </c>
      <c r="FF58" s="52">
        <v>56.500999999999998</v>
      </c>
      <c r="FG58" s="55">
        <v>0</v>
      </c>
      <c r="FH58" s="52">
        <v>56.500999999999998</v>
      </c>
      <c r="FI58" s="55">
        <v>0</v>
      </c>
      <c r="FJ58" s="52">
        <v>72.864999999999995</v>
      </c>
      <c r="FK58" s="55">
        <v>0</v>
      </c>
      <c r="FL58" s="52">
        <v>81.251000000000005</v>
      </c>
      <c r="FM58" s="55">
        <v>0</v>
      </c>
      <c r="FN58" s="52">
        <v>5.9359999999999999</v>
      </c>
      <c r="FO58" s="55">
        <v>0</v>
      </c>
      <c r="FP58" s="52">
        <v>11.632</v>
      </c>
      <c r="FQ58" s="55">
        <v>0</v>
      </c>
      <c r="FR58" s="52">
        <v>11.856</v>
      </c>
      <c r="FS58" s="55">
        <v>0</v>
      </c>
      <c r="FT58" s="52">
        <v>20.05</v>
      </c>
      <c r="FU58" s="55">
        <v>0</v>
      </c>
      <c r="FV58" s="52">
        <v>65.134</v>
      </c>
      <c r="FW58" s="55">
        <v>0</v>
      </c>
      <c r="FX58" s="52">
        <v>90.712999999999994</v>
      </c>
      <c r="FY58" s="55">
        <v>0</v>
      </c>
      <c r="FZ58" s="52">
        <v>91.049000000000007</v>
      </c>
      <c r="GA58" s="55">
        <v>0</v>
      </c>
      <c r="GB58" s="52">
        <v>96.096999999999994</v>
      </c>
      <c r="GC58" s="55">
        <v>0</v>
      </c>
      <c r="GD58" s="52">
        <v>101.17400000000001</v>
      </c>
      <c r="GE58" s="55">
        <v>0</v>
      </c>
      <c r="GF58" s="52">
        <v>101.244</v>
      </c>
      <c r="GG58" s="55">
        <v>0</v>
      </c>
      <c r="GH58" s="52">
        <v>114.51600000000001</v>
      </c>
      <c r="GI58" s="55">
        <v>0</v>
      </c>
      <c r="GJ58" s="52">
        <v>126.238</v>
      </c>
      <c r="GK58" s="55">
        <v>67.166499999999999</v>
      </c>
      <c r="GL58" s="52">
        <v>10.288</v>
      </c>
      <c r="GM58" s="55">
        <v>46.834000000000003</v>
      </c>
      <c r="GN58" s="52">
        <v>18.155000000000001</v>
      </c>
      <c r="GO58" s="55">
        <v>46.834000000000003</v>
      </c>
      <c r="GP58" s="52">
        <v>18.786999999999999</v>
      </c>
      <c r="GQ58" s="55">
        <v>48.584000000000003</v>
      </c>
      <c r="GR58" s="52">
        <v>51.375</v>
      </c>
      <c r="GS58" s="55">
        <v>48.584000000000003</v>
      </c>
      <c r="GT58" s="52">
        <v>52.509</v>
      </c>
      <c r="GU58" s="55">
        <v>59.584000000000003</v>
      </c>
      <c r="GV58" s="52">
        <v>52.509</v>
      </c>
      <c r="GW58" s="55">
        <v>59.584000000000003</v>
      </c>
      <c r="GX58" s="52">
        <v>104.248</v>
      </c>
      <c r="GY58" s="55">
        <v>59.584000000000003</v>
      </c>
      <c r="GZ58" s="52">
        <v>109.33</v>
      </c>
      <c r="HA58" s="55">
        <v>59.584000000000003</v>
      </c>
      <c r="HB58" s="52">
        <v>115.50700000000001</v>
      </c>
      <c r="HC58" s="55">
        <v>69.976140000000001</v>
      </c>
      <c r="HD58" s="52">
        <v>118.711</v>
      </c>
      <c r="HE58" s="55">
        <v>72.476140000000001</v>
      </c>
      <c r="HF58" s="52">
        <v>139.01300000000001</v>
      </c>
      <c r="HG58" s="55">
        <v>72.476140000000001</v>
      </c>
      <c r="HH58" s="52">
        <v>146.74100000000001</v>
      </c>
      <c r="HI58" s="55">
        <v>82.476140000000001</v>
      </c>
      <c r="HJ58" s="52">
        <v>6.718</v>
      </c>
      <c r="HK58" s="55">
        <v>2.2358699999999998</v>
      </c>
      <c r="HL58" s="52">
        <v>12.317</v>
      </c>
      <c r="HM58" s="55">
        <v>3.8021099999999999</v>
      </c>
      <c r="HN58" s="52">
        <v>12.661</v>
      </c>
      <c r="HO58" s="55">
        <v>6.3021099999999999</v>
      </c>
      <c r="HP58" s="52">
        <v>51.643999999999998</v>
      </c>
      <c r="HQ58" s="55">
        <v>7.7644500000000001</v>
      </c>
      <c r="HR58" s="52">
        <v>57.975999999999999</v>
      </c>
      <c r="HS58" s="55">
        <v>7.7644500000000001</v>
      </c>
      <c r="HT58" s="52">
        <v>66.16</v>
      </c>
      <c r="HU58" s="55">
        <v>7.7644500000000001</v>
      </c>
      <c r="HV58" s="52">
        <v>76.319000000000003</v>
      </c>
      <c r="HW58" s="55">
        <v>7.7644500000000001</v>
      </c>
      <c r="HX58" s="52">
        <v>127.259</v>
      </c>
      <c r="HY58" s="55">
        <v>7.7644500000000001</v>
      </c>
      <c r="HZ58" s="52">
        <v>218.65</v>
      </c>
      <c r="IA58" s="55">
        <v>13.59774</v>
      </c>
      <c r="IB58" s="16" t="s">
        <v>102</v>
      </c>
    </row>
    <row r="59" spans="1:240" s="9" customFormat="1" ht="22.5" customHeight="1" x14ac:dyDescent="0.4">
      <c r="A59" s="16" t="s">
        <v>103</v>
      </c>
      <c r="B59" s="50">
        <v>2276.1280000000006</v>
      </c>
      <c r="C59" s="50">
        <v>209.30899999999997</v>
      </c>
      <c r="D59" s="50">
        <v>3242.8549999999982</v>
      </c>
      <c r="E59" s="50">
        <v>625.32399999999961</v>
      </c>
      <c r="F59" s="50">
        <v>4914.0989999999993</v>
      </c>
      <c r="G59" s="50">
        <v>1148.1660000000006</v>
      </c>
      <c r="H59" s="50">
        <v>5517.9940000000024</v>
      </c>
      <c r="I59" s="50">
        <v>1900.6609999999971</v>
      </c>
      <c r="J59" s="50">
        <v>5982.7519999999977</v>
      </c>
      <c r="K59" s="50">
        <v>2491.739</v>
      </c>
      <c r="L59" s="50">
        <v>6623.493999999997</v>
      </c>
      <c r="M59" s="50">
        <v>2937.5350000000017</v>
      </c>
      <c r="N59" s="50">
        <v>7798.3410000000022</v>
      </c>
      <c r="O59" s="50">
        <v>3545.2609999999972</v>
      </c>
      <c r="P59" s="50">
        <v>8086.6694999999954</v>
      </c>
      <c r="Q59" s="50">
        <v>3980.9139999999943</v>
      </c>
      <c r="R59" s="50">
        <v>13124.103499999996</v>
      </c>
      <c r="S59" s="50">
        <v>4312.1919999999918</v>
      </c>
      <c r="T59" s="50">
        <v>25082.252500000021</v>
      </c>
      <c r="U59" s="50">
        <v>4511.3379999999943</v>
      </c>
      <c r="V59" s="50">
        <v>25553.524499999985</v>
      </c>
      <c r="W59" s="50">
        <v>5235.251999999995</v>
      </c>
      <c r="X59" s="50">
        <v>27537.37850000001</v>
      </c>
      <c r="Y59" s="50">
        <v>5843.0370000000003</v>
      </c>
      <c r="Z59" s="50">
        <v>0.38500000000090395</v>
      </c>
      <c r="AA59" s="50">
        <v>409.6969999999996</v>
      </c>
      <c r="AB59" s="50">
        <v>2152.6469999999999</v>
      </c>
      <c r="AC59" s="50">
        <v>1271.1979999999999</v>
      </c>
      <c r="AD59" s="50">
        <v>2199.0979600000001</v>
      </c>
      <c r="AE59" s="50">
        <v>2067.1678600000005</v>
      </c>
      <c r="AF59" s="50">
        <v>28210.098000000005</v>
      </c>
      <c r="AG59" s="50">
        <v>3005.9710000000027</v>
      </c>
      <c r="AH59" s="50">
        <v>28256.039999999986</v>
      </c>
      <c r="AI59" s="50">
        <v>4151.6789999999983</v>
      </c>
      <c r="AJ59" s="50">
        <v>28256.759999999991</v>
      </c>
      <c r="AK59" s="50">
        <v>4543.9580000000024</v>
      </c>
      <c r="AL59" s="50">
        <v>28637.281500000001</v>
      </c>
      <c r="AM59" s="50">
        <v>5120.2399999999989</v>
      </c>
      <c r="AN59" s="50">
        <v>28687.471500000007</v>
      </c>
      <c r="AO59" s="50">
        <v>5622.7760000000007</v>
      </c>
      <c r="AP59" s="50">
        <v>29223.703499999992</v>
      </c>
      <c r="AQ59" s="50">
        <v>5943.332000000014</v>
      </c>
      <c r="AR59" s="50">
        <v>29549.938500000011</v>
      </c>
      <c r="AS59" s="50">
        <v>6280.1569999999983</v>
      </c>
      <c r="AT59" s="50">
        <v>29743.581500000018</v>
      </c>
      <c r="AU59" s="50">
        <v>6611.6090000000031</v>
      </c>
      <c r="AV59" s="50">
        <v>30297.455500000011</v>
      </c>
      <c r="AW59" s="50">
        <v>7018.4800000000059</v>
      </c>
      <c r="AX59" s="50">
        <v>899.28799999999876</v>
      </c>
      <c r="AY59" s="50">
        <v>67.344000000000079</v>
      </c>
      <c r="AZ59" s="50">
        <v>1907.0639999999967</v>
      </c>
      <c r="BA59" s="50">
        <v>654.75000000000045</v>
      </c>
      <c r="BB59" s="50">
        <v>28734.252000000008</v>
      </c>
      <c r="BC59" s="50">
        <v>917.96700000000055</v>
      </c>
      <c r="BD59" s="50">
        <v>28739.920999999991</v>
      </c>
      <c r="BE59" s="50">
        <v>1375.7519999999997</v>
      </c>
      <c r="BF59" s="50">
        <v>28745.419999999995</v>
      </c>
      <c r="BG59" s="50">
        <v>1618.8900000000026</v>
      </c>
      <c r="BH59" s="50">
        <v>28748.675999999996</v>
      </c>
      <c r="BI59" s="50">
        <v>1946.846</v>
      </c>
      <c r="BJ59" s="50">
        <v>29346.098000000002</v>
      </c>
      <c r="BK59" s="50">
        <v>2812.6829999999977</v>
      </c>
      <c r="BL59" s="50">
        <v>28749.854500000009</v>
      </c>
      <c r="BM59" s="50">
        <v>3338.7269999999976</v>
      </c>
      <c r="BN59" s="50">
        <v>29663.430500000009</v>
      </c>
      <c r="BO59" s="50">
        <v>3587.604999999995</v>
      </c>
      <c r="BP59" s="50">
        <v>29895.745500000005</v>
      </c>
      <c r="BQ59" s="50">
        <v>4142.2129999999988</v>
      </c>
      <c r="BR59" s="50">
        <v>30084.582500000004</v>
      </c>
      <c r="BS59" s="50">
        <v>4464.1889999999994</v>
      </c>
      <c r="BT59" s="50">
        <v>32089.848500000058</v>
      </c>
      <c r="BU59" s="50">
        <v>4874.8159999999834</v>
      </c>
      <c r="BV59" s="50">
        <v>348.74973000000011</v>
      </c>
      <c r="BW59" s="50">
        <v>422.81699999999978</v>
      </c>
      <c r="BX59" s="50">
        <v>31282.211730000006</v>
      </c>
      <c r="BY59" s="50">
        <v>839.44200000000023</v>
      </c>
      <c r="BZ59" s="50">
        <v>31671.08873000001</v>
      </c>
      <c r="CA59" s="50">
        <v>1271.7550000000003</v>
      </c>
      <c r="CB59" s="50">
        <v>31954.854729999999</v>
      </c>
      <c r="CC59" s="50">
        <v>1377.2199999999984</v>
      </c>
      <c r="CD59" s="50">
        <v>31955.37073000001</v>
      </c>
      <c r="CE59" s="50">
        <v>1573.9610000000007</v>
      </c>
      <c r="CF59" s="50">
        <v>31960.940730000002</v>
      </c>
      <c r="CG59" s="50">
        <v>1941.5969999999984</v>
      </c>
      <c r="CH59" s="50">
        <v>31961.630730000004</v>
      </c>
      <c r="CI59" s="50">
        <v>2304.4410000000007</v>
      </c>
      <c r="CJ59" s="50">
        <v>31962.521329999992</v>
      </c>
      <c r="CK59" s="50">
        <v>2585.0339999999965</v>
      </c>
      <c r="CL59" s="50">
        <v>31962.741330000001</v>
      </c>
      <c r="CM59" s="50">
        <v>2941.7860000000001</v>
      </c>
      <c r="CN59" s="50">
        <v>31963.18633</v>
      </c>
      <c r="CO59" s="50">
        <v>3336.89</v>
      </c>
      <c r="CP59" s="50">
        <v>31964.001329999999</v>
      </c>
      <c r="CQ59" s="50">
        <v>5819.1350000000002</v>
      </c>
      <c r="CR59" s="50">
        <v>31964.816330000001</v>
      </c>
      <c r="CS59" s="50">
        <v>23386.740999999998</v>
      </c>
      <c r="CT59" s="50">
        <v>1063.133</v>
      </c>
      <c r="CU59" s="50">
        <v>14437.534</v>
      </c>
      <c r="CV59" s="50">
        <v>2353.8629999999998</v>
      </c>
      <c r="CW59" s="50">
        <v>22086.907999999999</v>
      </c>
      <c r="CX59" s="50">
        <v>33348.678</v>
      </c>
      <c r="CY59" s="50">
        <v>24637.002</v>
      </c>
      <c r="CZ59" s="50">
        <v>33349.339599999999</v>
      </c>
      <c r="DA59" s="50">
        <v>26865.170000000002</v>
      </c>
      <c r="DB59" s="50">
        <v>33352.505599999997</v>
      </c>
      <c r="DC59" s="50">
        <v>28262.987000000001</v>
      </c>
      <c r="DD59" s="50">
        <v>33353.255599999997</v>
      </c>
      <c r="DE59" s="50">
        <v>29643.055</v>
      </c>
      <c r="DF59" s="50">
        <v>33353.725599999998</v>
      </c>
      <c r="DG59" s="50">
        <v>31305.31</v>
      </c>
      <c r="DH59" s="50">
        <v>33352.933599999997</v>
      </c>
      <c r="DI59" s="50">
        <v>32980.050000000003</v>
      </c>
      <c r="DJ59" s="50">
        <v>33353.933099999995</v>
      </c>
      <c r="DK59" s="50">
        <v>35039.813999999998</v>
      </c>
      <c r="DL59" s="50">
        <v>33354.699999999997</v>
      </c>
      <c r="DM59" s="50">
        <v>36470.400000000001</v>
      </c>
      <c r="DN59" s="50">
        <v>33355.179100000001</v>
      </c>
      <c r="DO59" s="50">
        <v>37777.656999999999</v>
      </c>
      <c r="DP59" s="50">
        <v>30789.8701</v>
      </c>
      <c r="DQ59" s="51">
        <v>39342.243000000002</v>
      </c>
      <c r="DR59" s="59">
        <v>0.03</v>
      </c>
      <c r="DS59" s="58">
        <v>358.17999999999995</v>
      </c>
      <c r="DT59" s="62">
        <v>2.8807</v>
      </c>
      <c r="DU59" s="63">
        <v>425.28</v>
      </c>
      <c r="DV59" s="59">
        <v>5.5297999999999998</v>
      </c>
      <c r="DW59" s="58">
        <v>559.16100000000006</v>
      </c>
      <c r="DX59" s="62">
        <v>15.48325</v>
      </c>
      <c r="DY59" s="63">
        <v>580.09100000000001</v>
      </c>
      <c r="DZ59" s="59">
        <v>20.206250000000001</v>
      </c>
      <c r="EA59" s="58">
        <v>580.09100000000001</v>
      </c>
      <c r="EB59" s="54">
        <v>21.487369999999999</v>
      </c>
      <c r="EC59" s="51">
        <v>580.09100000000001</v>
      </c>
      <c r="ED59" s="52">
        <v>21.825369999999999</v>
      </c>
      <c r="EE59" s="53">
        <v>635.10299999999995</v>
      </c>
      <c r="EF59" s="52">
        <v>21.825369999999999</v>
      </c>
      <c r="EG59" s="53">
        <v>650.50300000000004</v>
      </c>
      <c r="EH59" s="54">
        <v>21.939769999999999</v>
      </c>
      <c r="EI59" s="53">
        <v>656.00400000000002</v>
      </c>
      <c r="EJ59" s="54">
        <v>22.044370000000001</v>
      </c>
      <c r="EK59" s="53">
        <v>681.48699999999997</v>
      </c>
      <c r="EL59" s="52">
        <v>22.87237</v>
      </c>
      <c r="EM59" s="55">
        <v>713.16</v>
      </c>
      <c r="EN59" s="52">
        <v>23.05</v>
      </c>
      <c r="EO59" s="55">
        <v>756.24400000000003</v>
      </c>
      <c r="EP59" s="52">
        <v>0.66300000000000003</v>
      </c>
      <c r="EQ59" s="55">
        <v>57.2</v>
      </c>
      <c r="ER59" s="52">
        <v>4.01</v>
      </c>
      <c r="ES59" s="55">
        <v>82.971000000000004</v>
      </c>
      <c r="ET59" s="52">
        <v>9.4797999999999991</v>
      </c>
      <c r="EU59" s="55">
        <v>133.571</v>
      </c>
      <c r="EV59" s="52">
        <v>15.024839999999999</v>
      </c>
      <c r="EW59" s="55">
        <v>204.52099999999999</v>
      </c>
      <c r="EX59" s="52">
        <v>20.202840000000002</v>
      </c>
      <c r="EY59" s="55">
        <v>235.87100000000001</v>
      </c>
      <c r="EZ59" s="52">
        <v>21.56784</v>
      </c>
      <c r="FA59" s="55">
        <v>257.87099999999998</v>
      </c>
      <c r="FB59" s="52">
        <v>22.677240000000001</v>
      </c>
      <c r="FC59" s="55">
        <v>268.87099999999998</v>
      </c>
      <c r="FD59" s="52">
        <v>23.817240000000002</v>
      </c>
      <c r="FE59" s="55">
        <v>284.27100000000002</v>
      </c>
      <c r="FF59" s="52">
        <v>24.766740000000002</v>
      </c>
      <c r="FG59" s="55">
        <v>284.27100000000002</v>
      </c>
      <c r="FH59" s="52">
        <v>25.433340000000001</v>
      </c>
      <c r="FI59" s="55">
        <v>284.27100000000002</v>
      </c>
      <c r="FJ59" s="52">
        <v>26.250340000000001</v>
      </c>
      <c r="FK59" s="55">
        <v>454.26400000000001</v>
      </c>
      <c r="FL59" s="52">
        <v>26.70234</v>
      </c>
      <c r="FM59" s="55">
        <v>471.86399999999998</v>
      </c>
      <c r="FN59" s="52">
        <v>0.2515</v>
      </c>
      <c r="FO59" s="55">
        <v>0</v>
      </c>
      <c r="FP59" s="52">
        <v>3.661</v>
      </c>
      <c r="FQ59" s="55">
        <v>41.364000000000004</v>
      </c>
      <c r="FR59" s="52">
        <v>9.3398000000000003</v>
      </c>
      <c r="FS59" s="55">
        <v>119.401</v>
      </c>
      <c r="FT59" s="52">
        <v>18.822099999999999</v>
      </c>
      <c r="FU59" s="55">
        <v>130.40100000000001</v>
      </c>
      <c r="FV59" s="52">
        <v>27.809000000000001</v>
      </c>
      <c r="FW59" s="55">
        <v>183.20099999999999</v>
      </c>
      <c r="FX59" s="52">
        <v>31.059000000000001</v>
      </c>
      <c r="FY59" s="55">
        <v>308.86700000000002</v>
      </c>
      <c r="FZ59" s="52">
        <v>32.235500000000002</v>
      </c>
      <c r="GA59" s="55">
        <v>315.46699999999998</v>
      </c>
      <c r="GB59" s="52">
        <v>32.595500000000001</v>
      </c>
      <c r="GC59" s="55">
        <v>315.46699999999998</v>
      </c>
      <c r="GD59" s="52">
        <v>32.900500000000001</v>
      </c>
      <c r="GE59" s="55">
        <v>315.46699999999998</v>
      </c>
      <c r="GF59" s="52">
        <v>33.972499999999997</v>
      </c>
      <c r="GG59" s="55">
        <v>325.36700000000002</v>
      </c>
      <c r="GH59" s="52">
        <v>35.701599999999999</v>
      </c>
      <c r="GI59" s="55">
        <v>332.39260000000002</v>
      </c>
      <c r="GJ59" s="52">
        <v>36.842599999999997</v>
      </c>
      <c r="GK59" s="55">
        <v>381.3426</v>
      </c>
      <c r="GL59" s="52">
        <v>0.34250000000000003</v>
      </c>
      <c r="GM59" s="55">
        <v>0</v>
      </c>
      <c r="GN59" s="52">
        <v>5.7680999999999996</v>
      </c>
      <c r="GO59" s="55">
        <v>0</v>
      </c>
      <c r="GP59" s="52">
        <v>14.377649999999999</v>
      </c>
      <c r="GQ59" s="55">
        <v>0</v>
      </c>
      <c r="GR59" s="52">
        <v>23.551649999999999</v>
      </c>
      <c r="GS59" s="55">
        <v>0</v>
      </c>
      <c r="GT59" s="52">
        <v>32.00065</v>
      </c>
      <c r="GU59" s="55">
        <v>0</v>
      </c>
      <c r="GV59" s="52">
        <v>33.826650000000001</v>
      </c>
      <c r="GW59" s="55">
        <v>0</v>
      </c>
      <c r="GX59" s="52">
        <v>34.146650000000001</v>
      </c>
      <c r="GY59" s="55">
        <v>0</v>
      </c>
      <c r="GZ59" s="52">
        <v>35.703150000000001</v>
      </c>
      <c r="HA59" s="55">
        <v>0</v>
      </c>
      <c r="HB59" s="52">
        <v>38.099249999999998</v>
      </c>
      <c r="HC59" s="55">
        <v>0</v>
      </c>
      <c r="HD59" s="52">
        <v>39.760249999999999</v>
      </c>
      <c r="HE59" s="55">
        <v>0</v>
      </c>
      <c r="HF59" s="52">
        <v>40.919750000000001</v>
      </c>
      <c r="HG59" s="55">
        <v>0</v>
      </c>
      <c r="HH59" s="52">
        <v>42.33775</v>
      </c>
      <c r="HI59" s="55">
        <v>0</v>
      </c>
      <c r="HJ59" s="52">
        <v>0.50480000000000003</v>
      </c>
      <c r="HK59" s="55">
        <v>0</v>
      </c>
      <c r="HL59" s="52">
        <v>3.2858000000000001</v>
      </c>
      <c r="HM59" s="55">
        <v>0</v>
      </c>
      <c r="HN59" s="52">
        <v>7.9132999999999996</v>
      </c>
      <c r="HO59" s="55">
        <v>0</v>
      </c>
      <c r="HP59" s="52">
        <v>13.644299999999999</v>
      </c>
      <c r="HQ59" s="55">
        <v>0</v>
      </c>
      <c r="HR59" s="52">
        <v>14.79969</v>
      </c>
      <c r="HS59" s="55">
        <v>0</v>
      </c>
      <c r="HT59" s="52">
        <v>18.50469</v>
      </c>
      <c r="HU59" s="55">
        <v>0</v>
      </c>
      <c r="HV59" s="52">
        <v>18.794689999999999</v>
      </c>
      <c r="HW59" s="55">
        <v>0</v>
      </c>
      <c r="HX59" s="52">
        <v>19.628689999999999</v>
      </c>
      <c r="HY59" s="55">
        <v>0</v>
      </c>
      <c r="HZ59" s="52">
        <v>19.80883</v>
      </c>
      <c r="IA59" s="55">
        <v>0</v>
      </c>
      <c r="IB59" s="16" t="s">
        <v>104</v>
      </c>
    </row>
    <row r="60" spans="1:240" s="9" customFormat="1" ht="30" customHeight="1" x14ac:dyDescent="0.4">
      <c r="A60" s="23" t="s">
        <v>105</v>
      </c>
      <c r="B60" s="72">
        <f t="shared" ref="B60:BM60" si="396">B11+B50</f>
        <v>70720.098730000012</v>
      </c>
      <c r="C60" s="72">
        <f t="shared" si="396"/>
        <v>26775.323100000001</v>
      </c>
      <c r="D60" s="72">
        <f t="shared" si="396"/>
        <v>103796.938850438</v>
      </c>
      <c r="E60" s="72">
        <f t="shared" si="396"/>
        <v>43858.522269999994</v>
      </c>
      <c r="F60" s="72">
        <f t="shared" si="396"/>
        <v>150681.68051000001</v>
      </c>
      <c r="G60" s="72">
        <f t="shared" si="396"/>
        <v>60292.39357</v>
      </c>
      <c r="H60" s="72">
        <f t="shared" si="396"/>
        <v>194172.08795000002</v>
      </c>
      <c r="I60" s="72">
        <f t="shared" si="396"/>
        <v>75319.197400000005</v>
      </c>
      <c r="J60" s="72">
        <f t="shared" si="396"/>
        <v>240115.42363</v>
      </c>
      <c r="K60" s="72">
        <f t="shared" si="396"/>
        <v>97900.505900000004</v>
      </c>
      <c r="L60" s="72">
        <f t="shared" si="396"/>
        <v>276158.44377999898</v>
      </c>
      <c r="M60" s="72">
        <f t="shared" si="396"/>
        <v>124410.42036000002</v>
      </c>
      <c r="N60" s="72">
        <f t="shared" si="396"/>
        <v>322830.05929</v>
      </c>
      <c r="O60" s="72">
        <f t="shared" si="396"/>
        <v>144008.84050000002</v>
      </c>
      <c r="P60" s="72">
        <f t="shared" si="396"/>
        <v>368915.44897999999</v>
      </c>
      <c r="Q60" s="72">
        <f t="shared" si="396"/>
        <v>167060.91748999999</v>
      </c>
      <c r="R60" s="72">
        <f t="shared" si="396"/>
        <v>414352.72497000004</v>
      </c>
      <c r="S60" s="72">
        <f t="shared" si="396"/>
        <v>188579.73019</v>
      </c>
      <c r="T60" s="72">
        <f t="shared" si="396"/>
        <v>462653.61855000001</v>
      </c>
      <c r="U60" s="72">
        <f t="shared" si="396"/>
        <v>204637.00384000002</v>
      </c>
      <c r="V60" s="72">
        <f t="shared" si="396"/>
        <v>504234.79862999998</v>
      </c>
      <c r="W60" s="72">
        <f t="shared" si="396"/>
        <v>230880.32024999999</v>
      </c>
      <c r="X60" s="72">
        <f t="shared" si="396"/>
        <v>556866.57860000001</v>
      </c>
      <c r="Y60" s="72">
        <f t="shared" si="396"/>
        <v>257109.59743999998</v>
      </c>
      <c r="Z60" s="72">
        <f t="shared" si="396"/>
        <v>82760.045640000011</v>
      </c>
      <c r="AA60" s="72">
        <f t="shared" si="396"/>
        <v>22988.119539000003</v>
      </c>
      <c r="AB60" s="72">
        <f t="shared" si="396"/>
        <v>130155.74632999999</v>
      </c>
      <c r="AC60" s="72">
        <f t="shared" si="396"/>
        <v>40487.726869999999</v>
      </c>
      <c r="AD60" s="72">
        <f t="shared" si="396"/>
        <v>193116.44426000002</v>
      </c>
      <c r="AE60" s="72">
        <f t="shared" si="396"/>
        <v>60294.312290000002</v>
      </c>
      <c r="AF60" s="72">
        <f t="shared" si="396"/>
        <v>301419.31774999999</v>
      </c>
      <c r="AG60" s="72">
        <f t="shared" si="396"/>
        <v>78498.079089999999</v>
      </c>
      <c r="AH60" s="72">
        <f t="shared" si="396"/>
        <v>350821.20782000001</v>
      </c>
      <c r="AI60" s="72">
        <f t="shared" si="396"/>
        <v>97450.143330000006</v>
      </c>
      <c r="AJ60" s="72">
        <f t="shared" si="396"/>
        <v>396371.22819000005</v>
      </c>
      <c r="AK60" s="72">
        <f t="shared" si="396"/>
        <v>119303.36606999999</v>
      </c>
      <c r="AL60" s="72">
        <f t="shared" si="396"/>
        <v>459851.51754000003</v>
      </c>
      <c r="AM60" s="72">
        <f t="shared" si="396"/>
        <v>145904.74216999998</v>
      </c>
      <c r="AN60" s="72">
        <f t="shared" si="396"/>
        <v>516923.67558000004</v>
      </c>
      <c r="AO60" s="72">
        <f t="shared" si="396"/>
        <v>168581.45294000002</v>
      </c>
      <c r="AP60" s="72">
        <f t="shared" si="396"/>
        <v>568538.36002999987</v>
      </c>
      <c r="AQ60" s="72">
        <f t="shared" si="396"/>
        <v>186911.60118</v>
      </c>
      <c r="AR60" s="72">
        <f t="shared" si="396"/>
        <v>617170.62290000007</v>
      </c>
      <c r="AS60" s="72">
        <f t="shared" si="396"/>
        <v>205960.35067000001</v>
      </c>
      <c r="AT60" s="72">
        <f t="shared" si="396"/>
        <v>663891.12810000009</v>
      </c>
      <c r="AU60" s="72">
        <f t="shared" si="396"/>
        <v>224139.22142999998</v>
      </c>
      <c r="AV60" s="72">
        <f t="shared" si="396"/>
        <v>727954.00326000014</v>
      </c>
      <c r="AW60" s="72">
        <f t="shared" si="396"/>
        <v>240333.47073</v>
      </c>
      <c r="AX60" s="72">
        <f t="shared" si="396"/>
        <v>88194.561710000009</v>
      </c>
      <c r="AY60" s="72">
        <f t="shared" si="396"/>
        <v>17155.82201</v>
      </c>
      <c r="AZ60" s="72">
        <f t="shared" si="396"/>
        <v>132818.72645000002</v>
      </c>
      <c r="BA60" s="72">
        <f t="shared" si="396"/>
        <v>33115.998120000004</v>
      </c>
      <c r="BB60" s="72">
        <f t="shared" si="396"/>
        <v>201157.97872000001</v>
      </c>
      <c r="BC60" s="72">
        <f t="shared" si="396"/>
        <v>46234.366450000001</v>
      </c>
      <c r="BD60" s="72">
        <f t="shared" si="396"/>
        <v>265296.48441000003</v>
      </c>
      <c r="BE60" s="72">
        <f t="shared" si="396"/>
        <v>66651.188869999998</v>
      </c>
      <c r="BF60" s="72">
        <f t="shared" si="396"/>
        <v>319272.15883000003</v>
      </c>
      <c r="BG60" s="72">
        <f t="shared" si="396"/>
        <v>93777.495640000008</v>
      </c>
      <c r="BH60" s="72">
        <f t="shared" si="396"/>
        <v>361336.79787999997</v>
      </c>
      <c r="BI60" s="72">
        <f t="shared" si="396"/>
        <v>119102.38301999999</v>
      </c>
      <c r="BJ60" s="72">
        <f t="shared" si="396"/>
        <v>422931.40942000004</v>
      </c>
      <c r="BK60" s="72">
        <f t="shared" si="396"/>
        <v>154631.93883999999</v>
      </c>
      <c r="BL60" s="72">
        <f t="shared" si="396"/>
        <v>469748.69513000001</v>
      </c>
      <c r="BM60" s="72">
        <f t="shared" si="396"/>
        <v>175473.56848000002</v>
      </c>
      <c r="BN60" s="72">
        <f t="shared" ref="BN60:DY60" si="397">BN11+BN50</f>
        <v>522453.60658999998</v>
      </c>
      <c r="BO60" s="72">
        <f t="shared" si="397"/>
        <v>201700.71458</v>
      </c>
      <c r="BP60" s="72">
        <f t="shared" si="397"/>
        <v>570492.69183000003</v>
      </c>
      <c r="BQ60" s="72">
        <f t="shared" si="397"/>
        <v>225472.95251999999</v>
      </c>
      <c r="BR60" s="72">
        <f t="shared" si="397"/>
        <v>615556.28076999995</v>
      </c>
      <c r="BS60" s="72">
        <f t="shared" si="397"/>
        <v>252220.99572000001</v>
      </c>
      <c r="BT60" s="72">
        <f t="shared" si="397"/>
        <v>681176.83921000012</v>
      </c>
      <c r="BU60" s="72">
        <f t="shared" si="397"/>
        <v>301536.70479999995</v>
      </c>
      <c r="BV60" s="72">
        <f t="shared" si="397"/>
        <v>112025.55153</v>
      </c>
      <c r="BW60" s="72">
        <f t="shared" si="397"/>
        <v>26746.856700000004</v>
      </c>
      <c r="BX60" s="72">
        <f t="shared" si="397"/>
        <v>190744.23772999999</v>
      </c>
      <c r="BY60" s="72">
        <f t="shared" si="397"/>
        <v>49293.809840000002</v>
      </c>
      <c r="BZ60" s="72">
        <f t="shared" si="397"/>
        <v>240764.29534000001</v>
      </c>
      <c r="CA60" s="72">
        <f t="shared" si="397"/>
        <v>77091.267300000007</v>
      </c>
      <c r="CB60" s="72">
        <f t="shared" si="397"/>
        <v>311336.96824000002</v>
      </c>
      <c r="CC60" s="72">
        <f t="shared" si="397"/>
        <v>105564.72729</v>
      </c>
      <c r="CD60" s="72">
        <f t="shared" si="397"/>
        <v>361348.23884999997</v>
      </c>
      <c r="CE60" s="72">
        <f t="shared" si="397"/>
        <v>140171.03659999999</v>
      </c>
      <c r="CF60" s="72">
        <f t="shared" si="397"/>
        <v>406400.26131999999</v>
      </c>
      <c r="CG60" s="72">
        <f t="shared" si="397"/>
        <v>188351.18817000001</v>
      </c>
      <c r="CH60" s="72">
        <f t="shared" si="397"/>
        <v>472725.13097999996</v>
      </c>
      <c r="CI60" s="72">
        <f t="shared" si="397"/>
        <v>227129.08132999999</v>
      </c>
      <c r="CJ60" s="72">
        <f t="shared" si="397"/>
        <v>528652.56235999998</v>
      </c>
      <c r="CK60" s="72">
        <f t="shared" si="397"/>
        <v>262996.16752999998</v>
      </c>
      <c r="CL60" s="72">
        <f t="shared" si="397"/>
        <v>581509.08165999991</v>
      </c>
      <c r="CM60" s="72">
        <f t="shared" si="397"/>
        <v>307761.74942000001</v>
      </c>
      <c r="CN60" s="72">
        <f t="shared" si="397"/>
        <v>628374.21671000007</v>
      </c>
      <c r="CO60" s="72">
        <f t="shared" si="397"/>
        <v>350035.47167</v>
      </c>
      <c r="CP60" s="72">
        <f t="shared" si="397"/>
        <v>668189.43371999997</v>
      </c>
      <c r="CQ60" s="72">
        <f t="shared" si="397"/>
        <v>391453.57309999998</v>
      </c>
      <c r="CR60" s="72">
        <f t="shared" si="397"/>
        <v>728634.06122000003</v>
      </c>
      <c r="CS60" s="72">
        <f t="shared" si="397"/>
        <v>465153.12059000001</v>
      </c>
      <c r="CT60" s="72">
        <f t="shared" si="397"/>
        <v>104010.82191</v>
      </c>
      <c r="CU60" s="72">
        <f t="shared" si="397"/>
        <v>56840.691440000002</v>
      </c>
      <c r="CV60" s="72">
        <f t="shared" si="397"/>
        <v>160445.07994</v>
      </c>
      <c r="CW60" s="72">
        <f t="shared" si="397"/>
        <v>100170.15075</v>
      </c>
      <c r="CX60" s="72">
        <f t="shared" si="397"/>
        <v>248988.66884</v>
      </c>
      <c r="CY60" s="72">
        <f t="shared" si="397"/>
        <v>145344.73252000002</v>
      </c>
      <c r="CZ60" s="72">
        <f t="shared" si="397"/>
        <v>339107.25600000005</v>
      </c>
      <c r="DA60" s="72">
        <f t="shared" si="397"/>
        <v>179789.26319</v>
      </c>
      <c r="DB60" s="72">
        <f t="shared" si="397"/>
        <v>398001.05214000004</v>
      </c>
      <c r="DC60" s="72">
        <f t="shared" si="397"/>
        <v>208232.96301000001</v>
      </c>
      <c r="DD60" s="72">
        <f t="shared" si="397"/>
        <v>452366.28686999995</v>
      </c>
      <c r="DE60" s="72">
        <f t="shared" si="397"/>
        <v>248199.50464</v>
      </c>
      <c r="DF60" s="72">
        <f t="shared" si="397"/>
        <v>528257.53888999997</v>
      </c>
      <c r="DG60" s="72">
        <f t="shared" si="397"/>
        <v>301178.70488000003</v>
      </c>
      <c r="DH60" s="72">
        <f t="shared" si="397"/>
        <v>580597.12957999995</v>
      </c>
      <c r="DI60" s="72">
        <f t="shared" si="397"/>
        <v>339866.39110000001</v>
      </c>
      <c r="DJ60" s="72">
        <f t="shared" si="397"/>
        <v>651483.89378000004</v>
      </c>
      <c r="DK60" s="72">
        <f t="shared" si="397"/>
        <v>373491.24084300001</v>
      </c>
      <c r="DL60" s="72">
        <f t="shared" si="397"/>
        <v>705699.92420999997</v>
      </c>
      <c r="DM60" s="72">
        <f t="shared" si="397"/>
        <v>401211.23584000004</v>
      </c>
      <c r="DN60" s="72">
        <f t="shared" si="397"/>
        <v>767810.10654000007</v>
      </c>
      <c r="DO60" s="72">
        <f t="shared" si="397"/>
        <v>429848.94698300003</v>
      </c>
      <c r="DP60" s="72">
        <f t="shared" si="397"/>
        <v>843897.27764999995</v>
      </c>
      <c r="DQ60" s="73">
        <f t="shared" si="397"/>
        <v>458726.28349999996</v>
      </c>
      <c r="DR60" s="74">
        <f t="shared" si="397"/>
        <v>117820.43871000002</v>
      </c>
      <c r="DS60" s="75">
        <f t="shared" si="397"/>
        <v>16649.298289999999</v>
      </c>
      <c r="DT60" s="76">
        <f t="shared" si="397"/>
        <v>178306.97304099996</v>
      </c>
      <c r="DU60" s="73">
        <f t="shared" si="397"/>
        <v>38936.25662</v>
      </c>
      <c r="DV60" s="77">
        <f t="shared" si="397"/>
        <v>258424.98340999999</v>
      </c>
      <c r="DW60" s="78">
        <f t="shared" si="397"/>
        <v>61227.659149999999</v>
      </c>
      <c r="DX60" s="76">
        <f t="shared" si="397"/>
        <v>358771.12637999991</v>
      </c>
      <c r="DY60" s="73">
        <f t="shared" si="397"/>
        <v>93417.540739999997</v>
      </c>
      <c r="DZ60" s="77">
        <f t="shared" ref="DZ60:EM60" si="398">DZ11+DZ50</f>
        <v>426637.83487000002</v>
      </c>
      <c r="EA60" s="78">
        <f t="shared" si="398"/>
        <v>129032.68520000001</v>
      </c>
      <c r="EB60" s="76">
        <f t="shared" si="398"/>
        <v>491604.71101000009</v>
      </c>
      <c r="EC60" s="73">
        <f t="shared" si="398"/>
        <v>174922.91821</v>
      </c>
      <c r="ED60" s="77">
        <f t="shared" si="398"/>
        <v>580501.0631400001</v>
      </c>
      <c r="EE60" s="78">
        <f t="shared" si="398"/>
        <v>241128.49865000002</v>
      </c>
      <c r="EF60" s="77">
        <f t="shared" si="398"/>
        <v>654917.94735000003</v>
      </c>
      <c r="EG60" s="79">
        <f t="shared" si="398"/>
        <v>283671.45512</v>
      </c>
      <c r="EH60" s="77">
        <f t="shared" si="398"/>
        <v>731219.83220000006</v>
      </c>
      <c r="EI60" s="79">
        <f t="shared" si="398"/>
        <v>318614.51465999999</v>
      </c>
      <c r="EJ60" s="73">
        <f t="shared" si="398"/>
        <v>797624.83646999998</v>
      </c>
      <c r="EK60" s="78">
        <f t="shared" si="398"/>
        <v>359296.78415000008</v>
      </c>
      <c r="EL60" s="77">
        <f t="shared" si="398"/>
        <v>875132.42313999997</v>
      </c>
      <c r="EM60" s="79">
        <f t="shared" si="398"/>
        <v>400953.30405999999</v>
      </c>
      <c r="EN60" s="77">
        <f t="shared" ref="EN60:EO60" si="399">EN11+EN50</f>
        <v>970822.75214</v>
      </c>
      <c r="EO60" s="79">
        <f t="shared" si="399"/>
        <v>433202.48518000002</v>
      </c>
      <c r="EP60" s="74">
        <f t="shared" ref="EP60:EQ60" si="400">EP11+EP50</f>
        <v>131814.05855000002</v>
      </c>
      <c r="EQ60" s="79">
        <f t="shared" si="400"/>
        <v>35168.425459999999</v>
      </c>
      <c r="ER60" s="77">
        <f t="shared" ref="ER60:ES60" si="401">ER11+ER50</f>
        <v>221067.94497000001</v>
      </c>
      <c r="ES60" s="79">
        <f t="shared" si="401"/>
        <v>70514.391050000006</v>
      </c>
      <c r="ET60" s="77">
        <f t="shared" ref="ET60:EU60" si="402">ET11+ET50</f>
        <v>346909.53104999999</v>
      </c>
      <c r="EU60" s="79">
        <f t="shared" si="402"/>
        <v>102289.68700000001</v>
      </c>
      <c r="EV60" s="77">
        <f t="shared" ref="EV60:EW60" si="403">EV11+EV50</f>
        <v>467530.25753</v>
      </c>
      <c r="EW60" s="79">
        <f t="shared" si="403"/>
        <v>134601.68461</v>
      </c>
      <c r="EX60" s="77">
        <f t="shared" ref="EX60:EY60" si="404">EX11+EX50</f>
        <v>566433.97491999995</v>
      </c>
      <c r="EY60" s="79">
        <f t="shared" si="404"/>
        <v>174436.19403999997</v>
      </c>
      <c r="EZ60" s="77">
        <f t="shared" ref="EZ60:FA60" si="405">EZ11+EZ50</f>
        <v>648945.42958</v>
      </c>
      <c r="FA60" s="79">
        <f t="shared" si="405"/>
        <v>225032.0625</v>
      </c>
      <c r="FB60" s="77">
        <f t="shared" ref="FB60:FC60" si="406">FB11+FB50</f>
        <v>761801.01952999993</v>
      </c>
      <c r="FC60" s="79">
        <f t="shared" si="406"/>
        <v>282977.14317000005</v>
      </c>
      <c r="FD60" s="77">
        <f t="shared" ref="FD60:FE60" si="407">FD11+FD50</f>
        <v>846854.45337999996</v>
      </c>
      <c r="FE60" s="79">
        <f t="shared" si="407"/>
        <v>345796.35090999998</v>
      </c>
      <c r="FF60" s="74">
        <f t="shared" ref="FF60:FG60" si="408">FF11+FF50</f>
        <v>935934.68965000007</v>
      </c>
      <c r="FG60" s="79">
        <f t="shared" si="408"/>
        <v>400386.96116999991</v>
      </c>
      <c r="FH60" s="77">
        <f t="shared" ref="FH60:FI60" si="409">FH11+FH50</f>
        <v>1019744.55481</v>
      </c>
      <c r="FI60" s="79">
        <f t="shared" si="409"/>
        <v>455011.70199999999</v>
      </c>
      <c r="FJ60" s="77">
        <f t="shared" ref="FJ60:FK60" si="410">FJ11+FJ50</f>
        <v>1108233.6728699999</v>
      </c>
      <c r="FK60" s="79">
        <f t="shared" si="410"/>
        <v>497466.31532999995</v>
      </c>
      <c r="FL60" s="77">
        <f t="shared" ref="FL60:FM60" si="411">FL11+FL50</f>
        <v>1222537.16943</v>
      </c>
      <c r="FM60" s="79">
        <f t="shared" si="411"/>
        <v>587324.96776999999</v>
      </c>
      <c r="FN60" s="77">
        <f t="shared" ref="FN60:FO60" si="412">FN11+FN50</f>
        <v>139113.54996999999</v>
      </c>
      <c r="FO60" s="79">
        <f t="shared" si="412"/>
        <v>38783.136230000004</v>
      </c>
      <c r="FP60" s="77">
        <f t="shared" ref="FP60:FQ60" si="413">FP11+FP50</f>
        <v>239718.83589999995</v>
      </c>
      <c r="FQ60" s="79">
        <f t="shared" si="413"/>
        <v>97434.382379999995</v>
      </c>
      <c r="FR60" s="77">
        <f t="shared" ref="FR60:FS60" si="414">FR11+FR50</f>
        <v>373140.46429000003</v>
      </c>
      <c r="FS60" s="79">
        <f t="shared" si="414"/>
        <v>153326.60004999998</v>
      </c>
      <c r="FT60" s="77">
        <f t="shared" ref="FT60:FU60" si="415">FT11+FT50</f>
        <v>542840.82397999999</v>
      </c>
      <c r="FU60" s="79">
        <f t="shared" si="415"/>
        <v>209555.11854999998</v>
      </c>
      <c r="FV60" s="77">
        <f t="shared" ref="FV60:FW60" si="416">FV11+FV50</f>
        <v>643754.04636000004</v>
      </c>
      <c r="FW60" s="79">
        <f t="shared" si="416"/>
        <v>274240.91842</v>
      </c>
      <c r="FX60" s="77">
        <f t="shared" ref="FX60:FY60" si="417">FX11+FX50</f>
        <v>725161.65023000003</v>
      </c>
      <c r="FY60" s="79">
        <f t="shared" si="417"/>
        <v>356083.98796000006</v>
      </c>
      <c r="FZ60" s="77">
        <f t="shared" ref="FZ60:GE60" si="418">FZ11+FZ50</f>
        <v>833199.34202999994</v>
      </c>
      <c r="GA60" s="79">
        <f t="shared" si="418"/>
        <v>438617.88092000003</v>
      </c>
      <c r="GB60" s="77">
        <f t="shared" si="418"/>
        <v>928110.17174999998</v>
      </c>
      <c r="GC60" s="79">
        <f t="shared" si="418"/>
        <v>498345.11080999998</v>
      </c>
      <c r="GD60" s="77">
        <f t="shared" si="418"/>
        <v>1023707.17293</v>
      </c>
      <c r="GE60" s="79">
        <f t="shared" si="418"/>
        <v>553746.10273000004</v>
      </c>
      <c r="GF60" s="77">
        <f t="shared" ref="GF60:GG60" si="419">GF11+GF50</f>
        <v>1112026.77428</v>
      </c>
      <c r="GG60" s="79">
        <f t="shared" si="419"/>
        <v>622301.23150999995</v>
      </c>
      <c r="GH60" s="77">
        <f t="shared" ref="GH60:GI60" si="420">GH11+GH50</f>
        <v>1222165.54311</v>
      </c>
      <c r="GI60" s="79">
        <f t="shared" si="420"/>
        <v>694053.27838999999</v>
      </c>
      <c r="GJ60" s="77">
        <f t="shared" ref="GJ60:GK60" si="421">GJ11+GJ50</f>
        <v>1353185.4122700002</v>
      </c>
      <c r="GK60" s="79">
        <f t="shared" si="421"/>
        <v>752712.21317999996</v>
      </c>
      <c r="GL60" s="77">
        <f t="shared" ref="GL60:GQ60" si="422">GL11+GL50</f>
        <v>163658.20332999999</v>
      </c>
      <c r="GM60" s="79">
        <f t="shared" si="422"/>
        <v>47623.276230000003</v>
      </c>
      <c r="GN60" s="77">
        <f t="shared" si="422"/>
        <v>281206.19648000004</v>
      </c>
      <c r="GO60" s="79">
        <f t="shared" si="422"/>
        <v>108594.79766999999</v>
      </c>
      <c r="GP60" s="77">
        <f t="shared" si="422"/>
        <v>399083.34303000011</v>
      </c>
      <c r="GQ60" s="79">
        <f t="shared" si="422"/>
        <v>164029.19675176698</v>
      </c>
      <c r="GR60" s="77">
        <f t="shared" ref="GR60:GS60" si="423">GR11+GR50</f>
        <v>588465.52116</v>
      </c>
      <c r="GS60" s="79">
        <f t="shared" si="423"/>
        <v>231332.50930999999</v>
      </c>
      <c r="GT60" s="77">
        <f t="shared" ref="GT60:GU60" si="424">GT11+GT50</f>
        <v>719352.80989999999</v>
      </c>
      <c r="GU60" s="79">
        <f t="shared" si="424"/>
        <v>314787.88643000001</v>
      </c>
      <c r="GV60" s="77">
        <f t="shared" ref="GV60:GW60" si="425">GV11+GV50</f>
        <v>817047.52344999998</v>
      </c>
      <c r="GW60" s="79">
        <f t="shared" si="425"/>
        <v>432197.84029000008</v>
      </c>
      <c r="GX60" s="77">
        <f t="shared" ref="GX60:GY60" si="426">GX11+GX50</f>
        <v>937657.99011999997</v>
      </c>
      <c r="GY60" s="79">
        <f t="shared" si="426"/>
        <v>529306.88828999992</v>
      </c>
      <c r="GZ60" s="77">
        <f t="shared" ref="GZ60:HA60" si="427">GZ11+GZ50</f>
        <v>1048074.3822</v>
      </c>
      <c r="HA60" s="79">
        <f t="shared" si="427"/>
        <v>603414.09664999996</v>
      </c>
      <c r="HB60" s="77">
        <f t="shared" ref="HB60:HC60" si="428">HB11+HB50</f>
        <v>1157254.0078799999</v>
      </c>
      <c r="HC60" s="79">
        <f t="shared" si="428"/>
        <v>683896.32502999995</v>
      </c>
      <c r="HD60" s="77">
        <f t="shared" ref="HD60:HE60" si="429">HD11+HD50</f>
        <v>1255972.82017</v>
      </c>
      <c r="HE60" s="79">
        <f t="shared" si="429"/>
        <v>772601.95923000004</v>
      </c>
      <c r="HF60" s="77">
        <f t="shared" ref="HF60:HG60" si="430">HF11+HF50</f>
        <v>1365354.2693400001</v>
      </c>
      <c r="HG60" s="79">
        <f t="shared" si="430"/>
        <v>844832.92278999998</v>
      </c>
      <c r="HH60" s="77">
        <f t="shared" ref="HH60:HI60" si="431">HH11+HH50</f>
        <v>1504709.3057499998</v>
      </c>
      <c r="HI60" s="79">
        <f t="shared" si="431"/>
        <v>920395.1140399999</v>
      </c>
      <c r="HJ60" s="77">
        <f t="shared" ref="HJ60:HK60" si="432">HJ11+HJ50</f>
        <v>156603.94814000002</v>
      </c>
      <c r="HK60" s="79">
        <f t="shared" si="432"/>
        <v>62011.95811</v>
      </c>
      <c r="HL60" s="77">
        <f t="shared" ref="HL60:HM60" si="433">HL11+HL50</f>
        <v>277562.21164999995</v>
      </c>
      <c r="HM60" s="79">
        <f t="shared" si="433"/>
        <v>148799.60988</v>
      </c>
      <c r="HN60" s="77">
        <f t="shared" ref="HN60:HO60" si="434">HN11+HN50</f>
        <v>417752.66009000002</v>
      </c>
      <c r="HO60" s="79">
        <f t="shared" si="434"/>
        <v>218455.67777000001</v>
      </c>
      <c r="HP60" s="77">
        <f t="shared" ref="HP60:HQ60" si="435">HP11+HP50</f>
        <v>610215.55491000006</v>
      </c>
      <c r="HQ60" s="79">
        <f t="shared" si="435"/>
        <v>304353.37294000003</v>
      </c>
      <c r="HR60" s="77">
        <f t="shared" ref="HR60:HS60" si="436">HR11+HR50</f>
        <v>732632.55515000003</v>
      </c>
      <c r="HS60" s="79">
        <f t="shared" si="436"/>
        <v>409635.52220000006</v>
      </c>
      <c r="HT60" s="77">
        <f t="shared" ref="HT60:HU60" si="437">HT11+HT50</f>
        <v>867395.86055999994</v>
      </c>
      <c r="HU60" s="79">
        <f t="shared" si="437"/>
        <v>549681.92545999994</v>
      </c>
      <c r="HV60" s="77">
        <f t="shared" ref="HV60:HW60" si="438">HV11+HV50</f>
        <v>1006408.61766</v>
      </c>
      <c r="HW60" s="79">
        <f t="shared" si="438"/>
        <v>671436.05579000001</v>
      </c>
      <c r="HX60" s="77">
        <f t="shared" ref="HX60:HY60" si="439">HX11+HX50</f>
        <v>1115394.5667600001</v>
      </c>
      <c r="HY60" s="79">
        <f t="shared" si="439"/>
        <v>773153.21520999994</v>
      </c>
      <c r="HZ60" s="77">
        <f t="shared" ref="HZ60:IA60" si="440">HZ11+HZ50</f>
        <v>1248485.25022</v>
      </c>
      <c r="IA60" s="79">
        <f t="shared" si="440"/>
        <v>882722.6966100001</v>
      </c>
      <c r="IB60" s="23" t="s">
        <v>106</v>
      </c>
      <c r="ID60" s="80"/>
      <c r="IF60" s="82"/>
    </row>
    <row r="61" spans="1:240" s="26" customFormat="1" ht="30" customHeight="1" x14ac:dyDescent="0.25">
      <c r="A61" s="24" t="s">
        <v>107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</row>
    <row r="62" spans="1:240" ht="31.5" customHeight="1" x14ac:dyDescent="0.25">
      <c r="A62" s="24" t="s">
        <v>134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8"/>
    </row>
    <row r="63" spans="1:240" ht="21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3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Q63" s="30"/>
    </row>
    <row r="64" spans="1:240" ht="21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S118" s="2"/>
      <c r="T118" s="2"/>
      <c r="U118" s="2"/>
      <c r="V118" s="2"/>
      <c r="W118" s="2"/>
      <c r="X118" s="2"/>
      <c r="Y118" s="2"/>
      <c r="Z118" s="2"/>
      <c r="AA118" s="2"/>
    </row>
    <row r="132" spans="54:54" x14ac:dyDescent="0.25">
      <c r="BB132" s="33"/>
    </row>
    <row r="133" spans="54:54" x14ac:dyDescent="0.25">
      <c r="BB133" s="33"/>
    </row>
  </sheetData>
  <mergeCells count="249">
    <mergeCell ref="HZ7:IA7"/>
    <mergeCell ref="HZ8:IA8"/>
    <mergeCell ref="HJ6:IA6"/>
    <mergeCell ref="CD8:CE8"/>
    <mergeCell ref="CF8:CG8"/>
    <mergeCell ref="CT8:CU8"/>
    <mergeCell ref="CP8:CQ8"/>
    <mergeCell ref="HV7:HW7"/>
    <mergeCell ref="HV8:HW8"/>
    <mergeCell ref="HR7:HS7"/>
    <mergeCell ref="HR8:HS8"/>
    <mergeCell ref="HT7:HU7"/>
    <mergeCell ref="HT8:HU8"/>
    <mergeCell ref="HL8:HM8"/>
    <mergeCell ref="CR8:CS8"/>
    <mergeCell ref="CV8:CW8"/>
    <mergeCell ref="DN8:DO8"/>
    <mergeCell ref="DP8:DQ8"/>
    <mergeCell ref="DR8:DS8"/>
    <mergeCell ref="DT8:DU8"/>
    <mergeCell ref="CR7:CS7"/>
    <mergeCell ref="DB8:DC8"/>
    <mergeCell ref="DD8:DE8"/>
    <mergeCell ref="DF8:DG8"/>
    <mergeCell ref="CH8:CI8"/>
    <mergeCell ref="CJ8:CK8"/>
    <mergeCell ref="T7:U7"/>
    <mergeCell ref="L8:M8"/>
    <mergeCell ref="Z7:AA7"/>
    <mergeCell ref="AB8:AC8"/>
    <mergeCell ref="IB6:IB10"/>
    <mergeCell ref="HJ8:HK8"/>
    <mergeCell ref="BT7:BU7"/>
    <mergeCell ref="HJ7:HK7"/>
    <mergeCell ref="BX7:BY7"/>
    <mergeCell ref="BV8:BW8"/>
    <mergeCell ref="BN8:BO8"/>
    <mergeCell ref="BP8:BQ8"/>
    <mergeCell ref="BZ7:CA7"/>
    <mergeCell ref="BT8:BU8"/>
    <mergeCell ref="BR7:BS7"/>
    <mergeCell ref="CB7:CC7"/>
    <mergeCell ref="CD7:CE7"/>
    <mergeCell ref="BV7:BW7"/>
    <mergeCell ref="DL8:DM8"/>
    <mergeCell ref="BX8:BY8"/>
    <mergeCell ref="BR8:BS8"/>
    <mergeCell ref="BP7:BQ7"/>
    <mergeCell ref="BZ8:CA8"/>
    <mergeCell ref="CB8:CC8"/>
    <mergeCell ref="B7:C7"/>
    <mergeCell ref="D7:E7"/>
    <mergeCell ref="F7:G7"/>
    <mergeCell ref="H7:I7"/>
    <mergeCell ref="J7:K7"/>
    <mergeCell ref="B8:C8"/>
    <mergeCell ref="N8:O8"/>
    <mergeCell ref="P8:Q8"/>
    <mergeCell ref="R8:S8"/>
    <mergeCell ref="L7:M7"/>
    <mergeCell ref="N7:O7"/>
    <mergeCell ref="P7:Q7"/>
    <mergeCell ref="R7:S7"/>
    <mergeCell ref="D8:E8"/>
    <mergeCell ref="F8:G8"/>
    <mergeCell ref="H8:I8"/>
    <mergeCell ref="J8:K8"/>
    <mergeCell ref="BD8:BE8"/>
    <mergeCell ref="AX8:AY8"/>
    <mergeCell ref="BJ8:BK8"/>
    <mergeCell ref="AF7:AG7"/>
    <mergeCell ref="AR8:AS8"/>
    <mergeCell ref="BF8:BG8"/>
    <mergeCell ref="X7:Y7"/>
    <mergeCell ref="V8:W8"/>
    <mergeCell ref="AD7:AE7"/>
    <mergeCell ref="AZ8:BA8"/>
    <mergeCell ref="BB8:BC8"/>
    <mergeCell ref="BB7:BC7"/>
    <mergeCell ref="BD7:BE7"/>
    <mergeCell ref="A2:IB2"/>
    <mergeCell ref="A3:IB3"/>
    <mergeCell ref="EJ5:IB5"/>
    <mergeCell ref="B6:Y6"/>
    <mergeCell ref="Z6:AW6"/>
    <mergeCell ref="AX6:BU6"/>
    <mergeCell ref="BV6:CS6"/>
    <mergeCell ref="CT6:DQ6"/>
    <mergeCell ref="DB7:DC7"/>
    <mergeCell ref="CL7:CM7"/>
    <mergeCell ref="CN7:CO7"/>
    <mergeCell ref="CP7:CQ7"/>
    <mergeCell ref="CF7:CG7"/>
    <mergeCell ref="CH7:CI7"/>
    <mergeCell ref="CJ7:CK7"/>
    <mergeCell ref="AV7:AW7"/>
    <mergeCell ref="HL7:HM7"/>
    <mergeCell ref="A7:A10"/>
    <mergeCell ref="V7:W7"/>
    <mergeCell ref="AT7:AU7"/>
    <mergeCell ref="T8:U8"/>
    <mergeCell ref="AH7:AI7"/>
    <mergeCell ref="Z8:AA8"/>
    <mergeCell ref="BH8:BI8"/>
    <mergeCell ref="X8:Y8"/>
    <mergeCell ref="AX7:AY7"/>
    <mergeCell ref="AJ7:AK7"/>
    <mergeCell ref="BL7:BM7"/>
    <mergeCell ref="BN7:BO7"/>
    <mergeCell ref="AZ7:BA7"/>
    <mergeCell ref="AP7:AQ7"/>
    <mergeCell ref="AB7:AC7"/>
    <mergeCell ref="AH8:AI8"/>
    <mergeCell ref="AJ8:AK8"/>
    <mergeCell ref="AR7:AS7"/>
    <mergeCell ref="AL8:AM8"/>
    <mergeCell ref="AN8:AO8"/>
    <mergeCell ref="AP8:AQ8"/>
    <mergeCell ref="AD8:AE8"/>
    <mergeCell ref="AL7:AM7"/>
    <mergeCell ref="AN7:AO7"/>
    <mergeCell ref="BL8:BM8"/>
    <mergeCell ref="BF7:BG7"/>
    <mergeCell ref="BH7:BI7"/>
    <mergeCell ref="BJ7:BK7"/>
    <mergeCell ref="AT8:AU8"/>
    <mergeCell ref="AV8:AW8"/>
    <mergeCell ref="AF8:AG8"/>
    <mergeCell ref="CL8:CM8"/>
    <mergeCell ref="CN8:CO8"/>
    <mergeCell ref="CX8:CY8"/>
    <mergeCell ref="CZ8:DA8"/>
    <mergeCell ref="CT7:CU7"/>
    <mergeCell ref="CV7:CW7"/>
    <mergeCell ref="CX7:CY7"/>
    <mergeCell ref="CZ7:DA7"/>
    <mergeCell ref="DJ8:DK8"/>
    <mergeCell ref="DJ7:DK7"/>
    <mergeCell ref="DL7:DM7"/>
    <mergeCell ref="FT7:FU7"/>
    <mergeCell ref="DN7:DO7"/>
    <mergeCell ref="FD7:FE7"/>
    <mergeCell ref="FF7:FG7"/>
    <mergeCell ref="FP7:FQ7"/>
    <mergeCell ref="FN7:FO7"/>
    <mergeCell ref="FJ7:FK7"/>
    <mergeCell ref="DP7:DQ7"/>
    <mergeCell ref="DR7:DS7"/>
    <mergeCell ref="DT7:DU7"/>
    <mergeCell ref="DV7:DW7"/>
    <mergeCell ref="DX7:DY7"/>
    <mergeCell ref="DZ7:EA7"/>
    <mergeCell ref="EX7:EY7"/>
    <mergeCell ref="FR8:FS8"/>
    <mergeCell ref="ER8:ES8"/>
    <mergeCell ref="FN8:FO8"/>
    <mergeCell ref="EP7:EQ7"/>
    <mergeCell ref="FZ7:GA7"/>
    <mergeCell ref="DD7:DE7"/>
    <mergeCell ref="DF7:DG7"/>
    <mergeCell ref="DH7:DI7"/>
    <mergeCell ref="DV8:DW8"/>
    <mergeCell ref="DX8:DY8"/>
    <mergeCell ref="EN8:EO8"/>
    <mergeCell ref="EL7:EM7"/>
    <mergeCell ref="EL8:EM8"/>
    <mergeCell ref="EB7:EC7"/>
    <mergeCell ref="ED7:EE7"/>
    <mergeCell ref="EF7:EG7"/>
    <mergeCell ref="DZ8:EA8"/>
    <mergeCell ref="EB8:EC8"/>
    <mergeCell ref="ED8:EE8"/>
    <mergeCell ref="EF8:EG8"/>
    <mergeCell ref="EH8:EI8"/>
    <mergeCell ref="FH7:FI7"/>
    <mergeCell ref="DH8:DI8"/>
    <mergeCell ref="FV7:FW7"/>
    <mergeCell ref="ET8:EU8"/>
    <mergeCell ref="ER7:ES7"/>
    <mergeCell ref="FB8:FC8"/>
    <mergeCell ref="EZ8:FA8"/>
    <mergeCell ref="EJ8:EK8"/>
    <mergeCell ref="DR6:EO6"/>
    <mergeCell ref="EV8:EW8"/>
    <mergeCell ref="EJ7:EK7"/>
    <mergeCell ref="FD8:FE8"/>
    <mergeCell ref="EV7:EW7"/>
    <mergeCell ref="EN7:EO7"/>
    <mergeCell ref="EH7:EI7"/>
    <mergeCell ref="FB7:FC7"/>
    <mergeCell ref="FP8:FQ8"/>
    <mergeCell ref="FL7:FM7"/>
    <mergeCell ref="FL8:FM8"/>
    <mergeCell ref="GD7:GE7"/>
    <mergeCell ref="GD8:GE8"/>
    <mergeCell ref="EP6:FM6"/>
    <mergeCell ref="FX7:FY7"/>
    <mergeCell ref="FX8:FY8"/>
    <mergeCell ref="FZ8:GA8"/>
    <mergeCell ref="FN6:GK6"/>
    <mergeCell ref="GB7:GC7"/>
    <mergeCell ref="GB8:GC8"/>
    <mergeCell ref="GH7:GI7"/>
    <mergeCell ref="GH8:GI8"/>
    <mergeCell ref="EZ7:FA7"/>
    <mergeCell ref="FR7:FS7"/>
    <mergeCell ref="FV8:FW8"/>
    <mergeCell ref="FT8:FU8"/>
    <mergeCell ref="FJ8:FK8"/>
    <mergeCell ref="FH8:FI8"/>
    <mergeCell ref="FF8:FG8"/>
    <mergeCell ref="EX8:EY8"/>
    <mergeCell ref="EP8:EQ8"/>
    <mergeCell ref="ET7:EU7"/>
    <mergeCell ref="GR7:GS7"/>
    <mergeCell ref="GR8:GS8"/>
    <mergeCell ref="GP7:GQ7"/>
    <mergeCell ref="GP8:GQ8"/>
    <mergeCell ref="HF7:HG7"/>
    <mergeCell ref="HF8:HG8"/>
    <mergeCell ref="GJ7:GK7"/>
    <mergeCell ref="GJ8:GK8"/>
    <mergeCell ref="GF7:GG7"/>
    <mergeCell ref="GF8:GG8"/>
    <mergeCell ref="GX7:GY7"/>
    <mergeCell ref="GX8:GY8"/>
    <mergeCell ref="HX7:HY7"/>
    <mergeCell ref="HX8:HY8"/>
    <mergeCell ref="HP7:HQ7"/>
    <mergeCell ref="HP8:HQ8"/>
    <mergeCell ref="HN7:HO7"/>
    <mergeCell ref="HN8:HO8"/>
    <mergeCell ref="HH7:HI7"/>
    <mergeCell ref="HH8:HI8"/>
    <mergeCell ref="GL6:HI6"/>
    <mergeCell ref="HD7:HE7"/>
    <mergeCell ref="HD8:HE8"/>
    <mergeCell ref="HB7:HC7"/>
    <mergeCell ref="HB8:HC8"/>
    <mergeCell ref="GZ7:HA7"/>
    <mergeCell ref="GZ8:HA8"/>
    <mergeCell ref="GV7:GW7"/>
    <mergeCell ref="GV8:GW8"/>
    <mergeCell ref="GL7:GM7"/>
    <mergeCell ref="GL8:GM8"/>
    <mergeCell ref="GN7:GO7"/>
    <mergeCell ref="GN8:GO8"/>
    <mergeCell ref="GT7:GU7"/>
    <mergeCell ref="GT8:GU8"/>
  </mergeCells>
  <pageMargins left="0.7" right="0.7" top="0.25" bottom="0.23" header="0.3" footer="0.3"/>
  <pageSetup scale="24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</vt:lpstr>
      <vt:lpstr>'6.2'!Print_Area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Samid Guluzadə</dc:creator>
  <cp:lastModifiedBy>Emil Ahmadov</cp:lastModifiedBy>
  <dcterms:created xsi:type="dcterms:W3CDTF">2022-11-23T12:09:56Z</dcterms:created>
  <dcterms:modified xsi:type="dcterms:W3CDTF">2026-10-19T06:18:15Z</dcterms:modified>
</cp:coreProperties>
</file>